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vivensispr-my.sharepoint.com/personal/adryan_santos_vivensis_com_br/Documents/Área de Trabalho/Formulário VBA/"/>
    </mc:Choice>
  </mc:AlternateContent>
  <xr:revisionPtr revIDLastSave="29543" documentId="10_ncr:20000_{7F64A928-5BFF-49F7-8880-10A1DFBF0808}" xr6:coauthVersionLast="47" xr6:coauthVersionMax="47" xr10:uidLastSave="{9D19777E-BE34-4B4B-8985-8EA2A4621E67}"/>
  <bookViews>
    <workbookView xWindow="28680" yWindow="-120" windowWidth="29040" windowHeight="15720" firstSheet="1" activeTab="1" xr2:uid="{BC96A89E-5977-4D70-9EF4-873BE0CEBE9E}"/>
  </bookViews>
  <sheets>
    <sheet name="TABULAÇÕES" sheetId="4" state="hidden" r:id="rId1"/>
    <sheet name="FORMULÁRIO" sheetId="5" r:id="rId2"/>
    <sheet name="BASE ATENDIMENTO" sheetId="6" r:id="rId3"/>
    <sheet name="BASE RECEPTIVO" sheetId="10" r:id="rId4"/>
  </sheets>
  <definedNames>
    <definedName name="_xleta.LEFT" hidden="1" xlm="1">#NAME?</definedName>
    <definedName name="_xleta.TODAY" hidden="1" xlm="1">#NAME?</definedName>
    <definedName name="_xleta.XLOOKUP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5" l="1" a="1"/>
  <c r="B2" i="5" s="1"/>
  <c r="C10" i="5" l="1"/>
  <c r="AV10" i="5"/>
  <c r="CA32" i="5" l="1"/>
  <c r="CB7" i="5" l="1"/>
  <c r="CB16" i="5"/>
  <c r="S22" i="5" l="1"/>
  <c r="AF15" i="5"/>
  <c r="K15" i="5"/>
  <c r="AC7" i="5"/>
  <c r="L7" i="5"/>
  <c r="BF32" i="5" l="1"/>
  <c r="BL32" i="5" s="1"/>
  <c r="CB9" i="5"/>
  <c r="CB11" i="5"/>
  <c r="CJ11" i="5" s="1"/>
  <c r="CB5" i="5"/>
  <c r="CB3" i="5"/>
  <c r="CJ3" i="5" s="1"/>
  <c r="CB13" i="5" l="1"/>
  <c r="CJ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Adryan Souza dos Santos</author>
  </authors>
  <commentList>
    <comment ref="B2" authorId="0" shapeId="0" xr:uid="{1AD9FB30-0DB6-44B7-B393-97420070174F}">
      <text>
        <r>
          <rPr>
            <b/>
            <sz val="9"/>
            <color indexed="81"/>
            <rFont val="Segoe UI"/>
            <family val="2"/>
          </rPr>
          <t>Adryan Souza dos Santos: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<sst xmlns="http://schemas.openxmlformats.org/spreadsheetml/2006/main" count="135" uniqueCount="91">
  <si>
    <t>LISTA TABULAÇÃO</t>
  </si>
  <si>
    <t>STATUS DA AÇÃO</t>
  </si>
  <si>
    <t>SUC/INS</t>
  </si>
  <si>
    <t>DEMANDA</t>
  </si>
  <si>
    <t>ENVIO DE DECLARAÇÃO</t>
  </si>
  <si>
    <t>CONFIRMAÇÃO DE ENDEREÇO</t>
  </si>
  <si>
    <t>CONTATO ATUALIZADO</t>
  </si>
  <si>
    <t>2x Call+1Whats= Whats Sucesso</t>
  </si>
  <si>
    <t>PENDENTE ATENDIMENTO</t>
  </si>
  <si>
    <t>SUCESSO</t>
  </si>
  <si>
    <t>AUDITORIA</t>
  </si>
  <si>
    <t>SIM</t>
  </si>
  <si>
    <t>ATUALIZADO</t>
  </si>
  <si>
    <t>2x Call+1Whats= Sem contato</t>
  </si>
  <si>
    <t>EM ANDAMENTO</t>
  </si>
  <si>
    <t>SEM CONTATO</t>
  </si>
  <si>
    <t>MATERIAL DEVOLVIDO - DECLARAÇÃO APRESENTADA</t>
  </si>
  <si>
    <t>NÃO</t>
  </si>
  <si>
    <t>ENDEREÇO CORRETO</t>
  </si>
  <si>
    <t>CONTATO CORRETO</t>
  </si>
  <si>
    <t>2x Call+1Whats= Call Sucesso</t>
  </si>
  <si>
    <t>FINALIZADO</t>
  </si>
  <si>
    <t>AGUARDANDO RETORNO</t>
  </si>
  <si>
    <t>COLETAR EQUIPAMENTO</t>
  </si>
  <si>
    <t>aguardando retorno</t>
  </si>
  <si>
    <t>NUMERO INEXISTENTE</t>
  </si>
  <si>
    <t>2x Call+1Whats= Aguardando Retorno</t>
  </si>
  <si>
    <t>ENVIADO OS's</t>
  </si>
  <si>
    <t>Asssistente</t>
  </si>
  <si>
    <t>Status Atendimento</t>
  </si>
  <si>
    <t>Id Parceiro</t>
  </si>
  <si>
    <t>Razão Social</t>
  </si>
  <si>
    <t>Nome Fantasia</t>
  </si>
  <si>
    <t>Endereço Sistemico</t>
  </si>
  <si>
    <t>Telefone 1</t>
  </si>
  <si>
    <t>Telefone 2</t>
  </si>
  <si>
    <t>Estoque Sistemico</t>
  </si>
  <si>
    <t>Aguardando coleta</t>
  </si>
  <si>
    <t>OK</t>
  </si>
  <si>
    <t>Data Atendimento</t>
  </si>
  <si>
    <t>Celula que tratou</t>
  </si>
  <si>
    <t>UF PARCEIRO</t>
  </si>
  <si>
    <t>Endereço Atualizado?</t>
  </si>
  <si>
    <t>Validador de Telefone</t>
  </si>
  <si>
    <t>Contato Atualizado?</t>
  </si>
  <si>
    <t>Observação Contato</t>
  </si>
  <si>
    <t>Confirmação do Estoque</t>
  </si>
  <si>
    <t>Envio de DECL Transporte</t>
  </si>
  <si>
    <t>Protocolo de Atendimento</t>
  </si>
  <si>
    <t>Demanda</t>
  </si>
  <si>
    <t>Observação Atendimento</t>
  </si>
  <si>
    <t>Atendimento</t>
  </si>
  <si>
    <t>Cód Atendimento</t>
  </si>
  <si>
    <t>Valor Acordado?</t>
  </si>
  <si>
    <t>Data entrada cadastro</t>
  </si>
  <si>
    <t>Código cadastro controle</t>
  </si>
  <si>
    <t>Quanto Acordado?</t>
  </si>
  <si>
    <t>CODIGO</t>
  </si>
  <si>
    <t>cod_chave_aten_uni</t>
  </si>
  <si>
    <t>2º Atendimento?</t>
  </si>
  <si>
    <t>1º Atendimento?</t>
  </si>
  <si>
    <t>x</t>
  </si>
  <si>
    <t>FORMULARIO DE ATENDIMENTO REVERSA</t>
  </si>
  <si>
    <t>Legenda de Células</t>
  </si>
  <si>
    <t>Data 1º Atendimento</t>
  </si>
  <si>
    <t>ID PARCEIRO</t>
  </si>
  <si>
    <t>Valores Pré Selecionados</t>
  </si>
  <si>
    <t>Data 2º Atendimento</t>
  </si>
  <si>
    <t>Valores a Serem Incluidos Manualmente</t>
  </si>
  <si>
    <t>3º Atendimento?</t>
  </si>
  <si>
    <t>ENDEREÇO CORRETO?</t>
  </si>
  <si>
    <t>Titulos e Infos de Atendimento</t>
  </si>
  <si>
    <t>Data 3º Atendimento</t>
  </si>
  <si>
    <t>TELEFONE 1</t>
  </si>
  <si>
    <t>TELEFONE 2</t>
  </si>
  <si>
    <t>Todos os Itens devem estar Preenchidos corretamente</t>
  </si>
  <si>
    <t>Status Atendimento do Geral</t>
  </si>
  <si>
    <t>CONTATO ATUALIZADO?</t>
  </si>
  <si>
    <t>ESTOQUE SISTEMICO</t>
  </si>
  <si>
    <t>CONFIRMAÇÃO DE ESTOQUE</t>
  </si>
  <si>
    <t>STATUS DO ATENDIMENTO</t>
  </si>
  <si>
    <t>ENVIO DECL TRANSPORTE</t>
  </si>
  <si>
    <t>PROTOCOLO ATENDIMENTO</t>
  </si>
  <si>
    <t>VALOR ACORDADO?</t>
  </si>
  <si>
    <t>Tipo do Ultimo Atendimento</t>
  </si>
  <si>
    <t>BASE ATENDIMENTO</t>
  </si>
  <si>
    <t>Whats</t>
  </si>
  <si>
    <t>BASE ATENDIMENTO RECEPTIVO</t>
  </si>
  <si>
    <t>Validador Endereço</t>
  </si>
  <si>
    <t>Coluna5</t>
  </si>
  <si>
    <t>ESTOQUE ZERADO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</si>
</sst>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7" formatCode="&quot;R$&quot;\ #,##0.00;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dd/mm/yyyy\ hh:mm:ss"/>
    <numFmt numFmtId="165" formatCode="00000"/>
    <numFmt numFmtId="166" formatCode="000"/>
    <numFmt numFmtId="167" formatCode="d/m/yy\ h:mm;@"/>
  </numFmts>
  <fonts count="23" x14ac:knownFonts="1">
    <font>
      <sz val="12"/>
      <color theme="1"/>
      <name val="Helvetica"/>
      <family val="2"/>
    </font>
    <font>
      <b/>
      <sz val="12"/>
      <color theme="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0"/>
      <color theme="0"/>
      <name val="Aptos Narrow"/>
      <family val="2"/>
      <scheme val="minor"/>
    </font>
    <font>
      <b/>
      <sz val="10"/>
      <color theme="0"/>
      <name val="Helvetica"/>
    </font>
    <font>
      <b/>
      <sz val="12"/>
      <color theme="0"/>
      <name val="Helvetica"/>
    </font>
    <font>
      <b/>
      <sz val="10"/>
      <color theme="1"/>
      <name val="Helvetica"/>
    </font>
    <font>
      <b/>
      <sz val="8"/>
      <color theme="1"/>
      <name val="Helvetica"/>
    </font>
    <font>
      <b/>
      <sz val="9"/>
      <color theme="1"/>
      <name val="Helvetica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4"/>
      <color theme="7" tint="-0.499984740745262"/>
      <name val="Helvetica"/>
    </font>
    <font>
      <b/>
      <sz val="11"/>
      <color theme="1"/>
      <name val="Helvetica"/>
    </font>
    <font>
      <b/>
      <sz val="11"/>
      <color theme="0" tint="-4.9989318521683403E-2"/>
      <name val="Helvetica"/>
    </font>
    <font>
      <b/>
      <sz val="11"/>
      <color theme="0" tint="-0.499984740745262"/>
      <name val="Helvetica"/>
    </font>
    <font>
      <sz val="8"/>
      <name val="Helvetica"/>
      <family val="2"/>
    </font>
    <font>
      <b/>
      <sz val="9"/>
      <color theme="0"/>
      <name val="Helvetica"/>
    </font>
    <font>
      <sz val="12"/>
      <color theme="1"/>
      <name val="Helvetica"/>
      <family val="2"/>
    </font>
    <font>
      <b/>
      <sz val="10"/>
      <color theme="0" tint="-0.249977111117893"/>
      <name val="Helvetica"/>
    </font>
    <font>
      <b/>
      <sz val="8"/>
      <color theme="0"/>
      <name val="Helvetica"/>
    </font>
    <font>
      <b/>
      <sz val="10"/>
      <name val="Helvetica"/>
    </font>
    <font>
      <b/>
      <sz val="10"/>
      <color theme="4" tint="-0.499984740745262"/>
      <name val="Helvetica"/>
    </font>
    <font>
      <sz val="8"/>
      <color rgb="FF000000"/>
      <name val="Segoe UI"/>
      <family val="2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7F77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</fills>
  <borders count="29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14999847407452621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14999847407452621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</borders>
  <cellStyleXfs count="3">
    <xf numFmtId="0" fontId="0" fillId="0" borderId="0"/>
    <xf numFmtId="44" fontId="17" fillId="0" borderId="0" applyFont="0" applyFill="0" applyBorder="0" applyAlignment="0" applyProtection="0"/>
    <xf numFmtId="43" fontId="17" fillId="0" borderId="0" applyFont="0" applyFill="0" applyBorder="0" applyAlignment="0" applyProtection="0"/>
  </cellStyleXfs>
  <cellXfs count="163">
    <xf numFmtId="0" fontId="0" fillId="0" borderId="0" xfId="0"/>
    <xf numFmtId="0" fontId="1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6" fillId="8" borderId="0" xfId="0" applyFont="1" applyFill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1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11" fillId="0" borderId="0" xfId="0" applyFont="1"/>
    <xf numFmtId="0" fontId="12" fillId="0" borderId="0" xfId="0" applyFont="1" applyAlignment="1">
      <alignment vertical="center" wrapText="1"/>
    </xf>
    <xf numFmtId="0" fontId="13" fillId="3" borderId="10" xfId="0" applyFont="1" applyFill="1" applyBorder="1" applyAlignment="1">
      <alignment vertical="center" wrapText="1"/>
    </xf>
    <xf numFmtId="0" fontId="13" fillId="3" borderId="11" xfId="0" applyFont="1" applyFill="1" applyBorder="1" applyAlignment="1">
      <alignment vertical="center" wrapText="1"/>
    </xf>
    <xf numFmtId="0" fontId="13" fillId="3" borderId="12" xfId="0" applyFont="1" applyFill="1" applyBorder="1" applyAlignment="1">
      <alignment vertical="center" wrapText="1"/>
    </xf>
    <xf numFmtId="164" fontId="14" fillId="2" borderId="13" xfId="0" applyNumberFormat="1" applyFont="1" applyFill="1" applyBorder="1" applyAlignment="1">
      <alignment vertical="center" wrapText="1"/>
    </xf>
    <xf numFmtId="0" fontId="14" fillId="2" borderId="14" xfId="0" applyFont="1" applyFill="1" applyBorder="1" applyAlignment="1">
      <alignment vertical="center" wrapText="1"/>
    </xf>
    <xf numFmtId="0" fontId="14" fillId="2" borderId="15" xfId="0" applyFont="1" applyFill="1" applyBorder="1" applyAlignment="1">
      <alignment vertical="center" wrapText="1"/>
    </xf>
    <xf numFmtId="0" fontId="6" fillId="0" borderId="0" xfId="0" applyFont="1" applyAlignment="1">
      <alignment horizontal="center" vertical="center" wrapText="1"/>
    </xf>
    <xf numFmtId="14" fontId="0" fillId="0" borderId="0" xfId="0" applyNumberFormat="1"/>
    <xf numFmtId="14" fontId="14" fillId="2" borderId="18" xfId="0" applyNumberFormat="1" applyFont="1" applyFill="1" applyBorder="1" applyAlignment="1">
      <alignment vertical="center" wrapText="1"/>
    </xf>
    <xf numFmtId="0" fontId="14" fillId="2" borderId="17" xfId="0" applyFont="1" applyFill="1" applyBorder="1" applyAlignment="1">
      <alignment vertical="center" wrapText="1"/>
    </xf>
    <xf numFmtId="0" fontId="14" fillId="2" borderId="16" xfId="0" applyFont="1" applyFill="1" applyBorder="1" applyAlignment="1">
      <alignment vertical="center" wrapText="1"/>
    </xf>
    <xf numFmtId="14" fontId="6" fillId="0" borderId="0" xfId="0" applyNumberFormat="1" applyFont="1" applyAlignment="1" applyProtection="1">
      <alignment horizontal="center" vertical="center"/>
      <protection locked="0"/>
    </xf>
    <xf numFmtId="0" fontId="3" fillId="13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14" fontId="11" fillId="0" borderId="0" xfId="0" applyNumberFormat="1" applyFont="1"/>
    <xf numFmtId="14" fontId="13" fillId="3" borderId="10" xfId="0" applyNumberFormat="1" applyFont="1" applyFill="1" applyBorder="1" applyAlignment="1">
      <alignment vertical="center" wrapText="1"/>
    </xf>
    <xf numFmtId="0" fontId="14" fillId="2" borderId="11" xfId="0" applyFont="1" applyFill="1" applyBorder="1" applyAlignment="1">
      <alignment vertical="center" wrapText="1"/>
    </xf>
    <xf numFmtId="7" fontId="14" fillId="2" borderId="16" xfId="0" applyNumberFormat="1" applyFont="1" applyFill="1" applyBorder="1" applyAlignment="1">
      <alignment vertical="center" wrapText="1"/>
    </xf>
    <xf numFmtId="2" fontId="0" fillId="0" borderId="0" xfId="0" applyNumberFormat="1"/>
    <xf numFmtId="2" fontId="13" fillId="3" borderId="11" xfId="0" applyNumberFormat="1" applyFont="1" applyFill="1" applyBorder="1" applyAlignment="1">
      <alignment vertical="center" wrapText="1"/>
    </xf>
    <xf numFmtId="1" fontId="14" fillId="2" borderId="17" xfId="0" applyNumberFormat="1" applyFont="1" applyFill="1" applyBorder="1" applyAlignment="1">
      <alignment vertical="center" wrapText="1"/>
    </xf>
    <xf numFmtId="0" fontId="14" fillId="2" borderId="0" xfId="0" applyFont="1" applyFill="1" applyAlignment="1">
      <alignment vertical="center" wrapText="1"/>
    </xf>
    <xf numFmtId="14" fontId="14" fillId="2" borderId="0" xfId="0" applyNumberFormat="1" applyFont="1" applyFill="1"/>
    <xf numFmtId="0" fontId="13" fillId="15" borderId="11" xfId="0" applyFont="1" applyFill="1" applyBorder="1" applyAlignment="1">
      <alignment vertical="center" wrapText="1"/>
    </xf>
    <xf numFmtId="1" fontId="14" fillId="2" borderId="0" xfId="0" applyNumberFormat="1" applyFont="1" applyFill="1" applyAlignment="1">
      <alignment vertical="center" wrapText="1"/>
    </xf>
    <xf numFmtId="167" fontId="6" fillId="0" borderId="0" xfId="0" applyNumberFormat="1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wrapText="1"/>
    </xf>
    <xf numFmtId="0" fontId="5" fillId="8" borderId="0" xfId="0" applyFont="1" applyFill="1" applyAlignment="1">
      <alignment vertical="center"/>
    </xf>
    <xf numFmtId="0" fontId="5" fillId="8" borderId="0" xfId="0" applyFont="1" applyFill="1" applyAlignment="1">
      <alignment vertical="center" wrapText="1"/>
    </xf>
    <xf numFmtId="14" fontId="21" fillId="8" borderId="0" xfId="0" applyNumberFormat="1" applyFont="1" applyFill="1" applyAlignment="1">
      <alignment horizontal="center" vertical="center"/>
    </xf>
    <xf numFmtId="1" fontId="14" fillId="2" borderId="11" xfId="0" applyNumberFormat="1" applyFont="1" applyFill="1" applyBorder="1" applyAlignment="1">
      <alignment vertical="center" wrapText="1"/>
    </xf>
    <xf numFmtId="0" fontId="4" fillId="8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left" vertical="center"/>
    </xf>
    <xf numFmtId="0" fontId="4" fillId="8" borderId="0" xfId="0" applyFont="1" applyFill="1" applyAlignment="1">
      <alignment horizontal="left" vertical="center" wrapText="1"/>
    </xf>
    <xf numFmtId="0" fontId="4" fillId="9" borderId="0" xfId="0" applyFont="1" applyFill="1" applyAlignment="1">
      <alignment horizontal="center" vertical="center" wrapText="1"/>
    </xf>
    <xf numFmtId="167" fontId="19" fillId="9" borderId="0" xfId="0" applyNumberFormat="1" applyFont="1" applyFill="1" applyAlignment="1">
      <alignment horizontal="center" vertical="center"/>
    </xf>
    <xf numFmtId="0" fontId="6" fillId="9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10" borderId="2" xfId="0" applyFont="1" applyFill="1" applyBorder="1" applyAlignment="1" applyProtection="1">
      <alignment horizontal="center" vertical="center"/>
      <protection locked="0"/>
    </xf>
    <xf numFmtId="0" fontId="6" fillId="10" borderId="3" xfId="0" applyFont="1" applyFill="1" applyBorder="1" applyAlignment="1" applyProtection="1">
      <alignment horizontal="center" vertical="center"/>
      <protection locked="0"/>
    </xf>
    <xf numFmtId="0" fontId="6" fillId="10" borderId="4" xfId="0" applyFont="1" applyFill="1" applyBorder="1" applyAlignment="1" applyProtection="1">
      <alignment horizontal="center" vertical="center"/>
      <protection locked="0"/>
    </xf>
    <xf numFmtId="0" fontId="6" fillId="10" borderId="5" xfId="0" applyFont="1" applyFill="1" applyBorder="1" applyAlignment="1" applyProtection="1">
      <alignment horizontal="center" vertical="center"/>
      <protection locked="0"/>
    </xf>
    <xf numFmtId="0" fontId="6" fillId="10" borderId="0" xfId="0" applyFont="1" applyFill="1" applyAlignment="1" applyProtection="1">
      <alignment horizontal="center" vertical="center"/>
      <protection locked="0"/>
    </xf>
    <xf numFmtId="0" fontId="6" fillId="10" borderId="6" xfId="0" applyFont="1" applyFill="1" applyBorder="1" applyAlignment="1" applyProtection="1">
      <alignment horizontal="center" vertical="center"/>
      <protection locked="0"/>
    </xf>
    <xf numFmtId="0" fontId="6" fillId="10" borderId="7" xfId="0" applyFont="1" applyFill="1" applyBorder="1" applyAlignment="1" applyProtection="1">
      <alignment horizontal="center" vertical="center"/>
      <protection locked="0"/>
    </xf>
    <xf numFmtId="0" fontId="6" fillId="10" borderId="8" xfId="0" applyFont="1" applyFill="1" applyBorder="1" applyAlignment="1" applyProtection="1">
      <alignment horizontal="center" vertical="center"/>
      <protection locked="0"/>
    </xf>
    <xf numFmtId="0" fontId="6" fillId="10" borderId="9" xfId="0" applyFont="1" applyFill="1" applyBorder="1" applyAlignment="1" applyProtection="1">
      <alignment horizontal="center" vertical="center"/>
      <protection locked="0"/>
    </xf>
    <xf numFmtId="49" fontId="6" fillId="10" borderId="2" xfId="0" applyNumberFormat="1" applyFont="1" applyFill="1" applyBorder="1" applyAlignment="1" applyProtection="1">
      <alignment horizontal="center" vertical="center"/>
      <protection locked="0"/>
    </xf>
    <xf numFmtId="49" fontId="6" fillId="10" borderId="3" xfId="0" applyNumberFormat="1" applyFont="1" applyFill="1" applyBorder="1" applyAlignment="1" applyProtection="1">
      <alignment horizontal="center" vertical="center"/>
      <protection locked="0"/>
    </xf>
    <xf numFmtId="49" fontId="6" fillId="10" borderId="4" xfId="0" applyNumberFormat="1" applyFont="1" applyFill="1" applyBorder="1" applyAlignment="1" applyProtection="1">
      <alignment horizontal="center" vertical="center"/>
      <protection locked="0"/>
    </xf>
    <xf numFmtId="49" fontId="6" fillId="10" borderId="7" xfId="0" applyNumberFormat="1" applyFont="1" applyFill="1" applyBorder="1" applyAlignment="1" applyProtection="1">
      <alignment horizontal="center" vertical="center"/>
      <protection locked="0"/>
    </xf>
    <xf numFmtId="49" fontId="6" fillId="10" borderId="8" xfId="0" applyNumberFormat="1" applyFont="1" applyFill="1" applyBorder="1" applyAlignment="1" applyProtection="1">
      <alignment horizontal="center" vertical="center"/>
      <protection locked="0"/>
    </xf>
    <xf numFmtId="49" fontId="6" fillId="10" borderId="9" xfId="0" applyNumberFormat="1" applyFont="1" applyFill="1" applyBorder="1" applyAlignment="1" applyProtection="1">
      <alignment horizontal="center" vertical="center"/>
      <protection locked="0"/>
    </xf>
    <xf numFmtId="0" fontId="4" fillId="9" borderId="2" xfId="0" applyFont="1" applyFill="1" applyBorder="1" applyAlignment="1">
      <alignment horizontal="center" vertical="center" wrapText="1"/>
    </xf>
    <xf numFmtId="0" fontId="4" fillId="9" borderId="3" xfId="0" applyFont="1" applyFill="1" applyBorder="1" applyAlignment="1">
      <alignment horizontal="center" vertical="center" wrapText="1"/>
    </xf>
    <xf numFmtId="0" fontId="4" fillId="9" borderId="4" xfId="0" applyFont="1" applyFill="1" applyBorder="1" applyAlignment="1">
      <alignment horizontal="center" vertical="center" wrapText="1"/>
    </xf>
    <xf numFmtId="0" fontId="4" fillId="9" borderId="7" xfId="0" applyFont="1" applyFill="1" applyBorder="1" applyAlignment="1">
      <alignment horizontal="center" vertical="center" wrapText="1"/>
    </xf>
    <xf numFmtId="0" fontId="4" fillId="9" borderId="8" xfId="0" applyFont="1" applyFill="1" applyBorder="1" applyAlignment="1">
      <alignment horizontal="center" vertical="center" wrapText="1"/>
    </xf>
    <xf numFmtId="0" fontId="4" fillId="9" borderId="9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 applyProtection="1">
      <alignment horizontal="center" vertical="center"/>
      <protection locked="0"/>
    </xf>
    <xf numFmtId="0" fontId="6" fillId="4" borderId="3" xfId="0" applyFont="1" applyFill="1" applyBorder="1" applyAlignment="1" applyProtection="1">
      <alignment horizontal="center" vertical="center"/>
      <protection locked="0"/>
    </xf>
    <xf numFmtId="0" fontId="6" fillId="4" borderId="4" xfId="0" applyFont="1" applyFill="1" applyBorder="1" applyAlignment="1" applyProtection="1">
      <alignment horizontal="center" vertical="center"/>
      <protection locked="0"/>
    </xf>
    <xf numFmtId="0" fontId="6" fillId="4" borderId="7" xfId="0" applyFont="1" applyFill="1" applyBorder="1" applyAlignment="1" applyProtection="1">
      <alignment horizontal="center" vertical="center"/>
      <protection locked="0"/>
    </xf>
    <xf numFmtId="0" fontId="6" fillId="4" borderId="8" xfId="0" applyFont="1" applyFill="1" applyBorder="1" applyAlignment="1" applyProtection="1">
      <alignment horizontal="center" vertical="center"/>
      <protection locked="0"/>
    </xf>
    <xf numFmtId="0" fontId="6" fillId="4" borderId="9" xfId="0" applyFont="1" applyFill="1" applyBorder="1" applyAlignment="1" applyProtection="1">
      <alignment horizontal="center" vertical="center"/>
      <protection locked="0"/>
    </xf>
    <xf numFmtId="0" fontId="4" fillId="9" borderId="2" xfId="0" applyFont="1" applyFill="1" applyBorder="1" applyAlignment="1">
      <alignment horizontal="center" vertical="center"/>
    </xf>
    <xf numFmtId="0" fontId="4" fillId="9" borderId="3" xfId="0" applyFont="1" applyFill="1" applyBorder="1" applyAlignment="1">
      <alignment horizontal="center" vertical="center"/>
    </xf>
    <xf numFmtId="0" fontId="4" fillId="9" borderId="4" xfId="0" applyFont="1" applyFill="1" applyBorder="1" applyAlignment="1">
      <alignment horizontal="center" vertical="center"/>
    </xf>
    <xf numFmtId="0" fontId="4" fillId="9" borderId="7" xfId="0" applyFont="1" applyFill="1" applyBorder="1" applyAlignment="1">
      <alignment horizontal="center" vertical="center"/>
    </xf>
    <xf numFmtId="0" fontId="4" fillId="9" borderId="8" xfId="0" applyFont="1" applyFill="1" applyBorder="1" applyAlignment="1">
      <alignment horizontal="center" vertical="center"/>
    </xf>
    <xf numFmtId="0" fontId="4" fillId="9" borderId="9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44" fontId="6" fillId="10" borderId="3" xfId="1" applyFont="1" applyFill="1" applyBorder="1" applyAlignment="1" applyProtection="1">
      <alignment horizontal="center"/>
      <protection locked="0"/>
    </xf>
    <xf numFmtId="44" fontId="6" fillId="10" borderId="4" xfId="1" applyFont="1" applyFill="1" applyBorder="1" applyAlignment="1" applyProtection="1">
      <alignment horizontal="center"/>
      <protection locked="0"/>
    </xf>
    <xf numFmtId="44" fontId="6" fillId="10" borderId="8" xfId="1" applyFont="1" applyFill="1" applyBorder="1" applyAlignment="1" applyProtection="1">
      <alignment horizontal="center"/>
      <protection locked="0"/>
    </xf>
    <xf numFmtId="44" fontId="6" fillId="10" borderId="9" xfId="1" applyFont="1" applyFill="1" applyBorder="1" applyAlignment="1" applyProtection="1">
      <alignment horizontal="center"/>
      <protection locked="0"/>
    </xf>
    <xf numFmtId="166" fontId="18" fillId="0" borderId="0" xfId="2" applyNumberFormat="1" applyFont="1" applyAlignment="1" applyProtection="1">
      <alignment horizontal="center" vertical="center"/>
    </xf>
    <xf numFmtId="165" fontId="18" fillId="0" borderId="0" xfId="2" applyNumberFormat="1" applyFont="1" applyAlignment="1" applyProtection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4" fillId="9" borderId="5" xfId="0" applyFont="1" applyFill="1" applyBorder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9" borderId="6" xfId="0" applyFont="1" applyFill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0" fontId="20" fillId="0" borderId="7" xfId="0" applyFont="1" applyBorder="1" applyAlignment="1">
      <alignment horizontal="center" vertical="center"/>
    </xf>
    <xf numFmtId="0" fontId="20" fillId="0" borderId="8" xfId="0" applyFont="1" applyBorder="1" applyAlignment="1">
      <alignment horizontal="center" vertical="center"/>
    </xf>
    <xf numFmtId="0" fontId="20" fillId="0" borderId="9" xfId="0" applyFont="1" applyBorder="1" applyAlignment="1">
      <alignment horizontal="center" vertical="center"/>
    </xf>
    <xf numFmtId="0" fontId="5" fillId="8" borderId="0" xfId="0" applyFont="1" applyFill="1" applyAlignment="1">
      <alignment horizontal="center" vertical="center" wrapText="1"/>
    </xf>
    <xf numFmtId="0" fontId="8" fillId="0" borderId="22" xfId="0" applyFont="1" applyBorder="1" applyAlignment="1">
      <alignment horizontal="center" vertical="center" wrapText="1"/>
    </xf>
    <xf numFmtId="0" fontId="8" fillId="0" borderId="20" xfId="0" applyFont="1" applyBorder="1" applyAlignment="1">
      <alignment horizontal="center" vertical="center" wrapText="1"/>
    </xf>
    <xf numFmtId="0" fontId="8" fillId="0" borderId="26" xfId="0" applyFont="1" applyBorder="1" applyAlignment="1">
      <alignment horizontal="center" vertical="center" wrapText="1"/>
    </xf>
    <xf numFmtId="0" fontId="8" fillId="0" borderId="27" xfId="0" applyFont="1" applyBorder="1" applyAlignment="1">
      <alignment horizontal="center" vertical="center" wrapText="1"/>
    </xf>
    <xf numFmtId="0" fontId="4" fillId="9" borderId="19" xfId="0" applyFont="1" applyFill="1" applyBorder="1" applyAlignment="1">
      <alignment horizontal="center" vertical="center"/>
    </xf>
    <xf numFmtId="0" fontId="4" fillId="9" borderId="20" xfId="0" applyFont="1" applyFill="1" applyBorder="1" applyAlignment="1">
      <alignment horizontal="center" vertical="center"/>
    </xf>
    <xf numFmtId="0" fontId="4" fillId="9" borderId="22" xfId="0" applyFont="1" applyFill="1" applyBorder="1" applyAlignment="1">
      <alignment horizontal="center" vertical="center" wrapText="1"/>
    </xf>
    <xf numFmtId="0" fontId="4" fillId="9" borderId="20" xfId="0" applyFont="1" applyFill="1" applyBorder="1" applyAlignment="1">
      <alignment horizontal="center" vertical="center" wrapText="1"/>
    </xf>
    <xf numFmtId="0" fontId="4" fillId="9" borderId="23" xfId="0" applyFont="1" applyFill="1" applyBorder="1" applyAlignment="1">
      <alignment horizontal="center" vertical="center" wrapText="1"/>
    </xf>
    <xf numFmtId="0" fontId="4" fillId="9" borderId="24" xfId="0" applyFont="1" applyFill="1" applyBorder="1" applyAlignment="1">
      <alignment horizontal="center" vertical="center" wrapText="1"/>
    </xf>
    <xf numFmtId="0" fontId="4" fillId="9" borderId="25" xfId="0" applyFont="1" applyFill="1" applyBorder="1" applyAlignment="1">
      <alignment horizontal="center" vertical="center" wrapText="1"/>
    </xf>
    <xf numFmtId="0" fontId="4" fillId="9" borderId="26" xfId="0" applyFont="1" applyFill="1" applyBorder="1" applyAlignment="1">
      <alignment horizontal="center" vertical="center" wrapText="1"/>
    </xf>
    <xf numFmtId="0" fontId="4" fillId="9" borderId="27" xfId="0" applyFont="1" applyFill="1" applyBorder="1" applyAlignment="1">
      <alignment horizontal="center" vertical="center" wrapText="1"/>
    </xf>
    <xf numFmtId="0" fontId="4" fillId="9" borderId="28" xfId="0" applyFont="1" applyFill="1" applyBorder="1" applyAlignment="1">
      <alignment horizontal="center" vertical="center" wrapText="1"/>
    </xf>
    <xf numFmtId="0" fontId="6" fillId="10" borderId="22" xfId="0" applyFont="1" applyFill="1" applyBorder="1" applyAlignment="1" applyProtection="1">
      <alignment horizontal="center" vertical="center"/>
      <protection locked="0"/>
    </xf>
    <xf numFmtId="0" fontId="6" fillId="10" borderId="20" xfId="0" applyFont="1" applyFill="1" applyBorder="1" applyAlignment="1" applyProtection="1">
      <alignment horizontal="center" vertical="center"/>
      <protection locked="0"/>
    </xf>
    <xf numFmtId="0" fontId="6" fillId="10" borderId="23" xfId="0" applyFont="1" applyFill="1" applyBorder="1" applyAlignment="1" applyProtection="1">
      <alignment horizontal="center" vertical="center"/>
      <protection locked="0"/>
    </xf>
    <xf numFmtId="0" fontId="6" fillId="10" borderId="24" xfId="0" applyFont="1" applyFill="1" applyBorder="1" applyAlignment="1" applyProtection="1">
      <alignment horizontal="center" vertical="center"/>
      <protection locked="0"/>
    </xf>
    <xf numFmtId="0" fontId="6" fillId="10" borderId="25" xfId="0" applyFont="1" applyFill="1" applyBorder="1" applyAlignment="1" applyProtection="1">
      <alignment horizontal="center" vertical="center"/>
      <protection locked="0"/>
    </xf>
    <xf numFmtId="0" fontId="6" fillId="10" borderId="26" xfId="0" applyFont="1" applyFill="1" applyBorder="1" applyAlignment="1" applyProtection="1">
      <alignment horizontal="center" vertical="center"/>
      <protection locked="0"/>
    </xf>
    <xf numFmtId="0" fontId="6" fillId="10" borderId="27" xfId="0" applyFont="1" applyFill="1" applyBorder="1" applyAlignment="1" applyProtection="1">
      <alignment horizontal="center" vertical="center"/>
      <protection locked="0"/>
    </xf>
    <xf numFmtId="0" fontId="6" fillId="10" borderId="28" xfId="0" applyFont="1" applyFill="1" applyBorder="1" applyAlignment="1" applyProtection="1">
      <alignment horizontal="center" vertical="center"/>
      <protection locked="0"/>
    </xf>
    <xf numFmtId="0" fontId="6" fillId="0" borderId="22" xfId="0" applyFont="1" applyBorder="1" applyAlignment="1">
      <alignment horizontal="center" vertical="center" wrapText="1"/>
    </xf>
    <xf numFmtId="0" fontId="6" fillId="0" borderId="20" xfId="0" applyFont="1" applyBorder="1" applyAlignment="1">
      <alignment horizontal="center" vertical="center" wrapText="1"/>
    </xf>
    <xf numFmtId="0" fontId="6" fillId="0" borderId="23" xfId="0" applyFont="1" applyBorder="1" applyAlignment="1">
      <alignment horizontal="center" vertical="center" wrapText="1"/>
    </xf>
    <xf numFmtId="0" fontId="6" fillId="0" borderId="24" xfId="0" applyFont="1" applyBorder="1" applyAlignment="1">
      <alignment horizontal="center" vertical="center" wrapText="1"/>
    </xf>
    <xf numFmtId="0" fontId="6" fillId="0" borderId="25" xfId="0" applyFont="1" applyBorder="1" applyAlignment="1">
      <alignment horizontal="center" vertical="center" wrapText="1"/>
    </xf>
    <xf numFmtId="0" fontId="6" fillId="0" borderId="26" xfId="0" applyFont="1" applyBorder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8" fillId="0" borderId="23" xfId="0" applyFont="1" applyBorder="1" applyAlignment="1">
      <alignment horizontal="center" vertical="center" wrapText="1"/>
    </xf>
    <xf numFmtId="0" fontId="8" fillId="0" borderId="28" xfId="0" applyFont="1" applyBorder="1" applyAlignment="1">
      <alignment horizontal="center" vertical="center" wrapText="1"/>
    </xf>
    <xf numFmtId="0" fontId="6" fillId="11" borderId="1" xfId="0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/>
    </xf>
    <xf numFmtId="0" fontId="4" fillId="9" borderId="21" xfId="0" applyFont="1" applyFill="1" applyBorder="1" applyAlignment="1">
      <alignment horizontal="center" vertical="center"/>
    </xf>
    <xf numFmtId="0" fontId="6" fillId="4" borderId="5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 applyProtection="1">
      <alignment horizontal="center" vertical="center"/>
      <protection locked="0"/>
    </xf>
    <xf numFmtId="0" fontId="6" fillId="4" borderId="6" xfId="0" applyFont="1" applyFill="1" applyBorder="1" applyAlignment="1" applyProtection="1">
      <alignment horizontal="center" vertical="center"/>
      <protection locked="0"/>
    </xf>
    <xf numFmtId="0" fontId="6" fillId="4" borderId="1" xfId="0" applyFont="1" applyFill="1" applyBorder="1" applyAlignment="1" applyProtection="1">
      <alignment horizontal="center" vertical="center"/>
      <protection locked="0"/>
    </xf>
    <xf numFmtId="0" fontId="6" fillId="2" borderId="19" xfId="0" applyFont="1" applyFill="1" applyBorder="1" applyAlignment="1" applyProtection="1">
      <alignment horizontal="center" vertical="center"/>
      <protection locked="0"/>
    </xf>
    <xf numFmtId="0" fontId="6" fillId="2" borderId="20" xfId="0" applyFont="1" applyFill="1" applyBorder="1" applyAlignment="1" applyProtection="1">
      <alignment horizontal="center" vertical="center"/>
      <protection locked="0"/>
    </xf>
    <xf numFmtId="0" fontId="6" fillId="2" borderId="21" xfId="0" applyFont="1" applyFill="1" applyBorder="1" applyAlignment="1" applyProtection="1">
      <alignment horizontal="center" vertical="center"/>
      <protection locked="0"/>
    </xf>
    <xf numFmtId="0" fontId="6" fillId="2" borderId="7" xfId="0" applyFont="1" applyFill="1" applyBorder="1" applyAlignment="1" applyProtection="1">
      <alignment horizontal="center" vertical="center"/>
      <protection locked="0"/>
    </xf>
    <xf numFmtId="0" fontId="6" fillId="2" borderId="8" xfId="0" applyFont="1" applyFill="1" applyBorder="1" applyAlignment="1" applyProtection="1">
      <alignment horizontal="center" vertical="center"/>
      <protection locked="0"/>
    </xf>
    <xf numFmtId="0" fontId="6" fillId="2" borderId="9" xfId="0" applyFont="1" applyFill="1" applyBorder="1" applyAlignment="1" applyProtection="1">
      <alignment horizontal="center" vertical="center"/>
      <protection locked="0"/>
    </xf>
    <xf numFmtId="0" fontId="16" fillId="9" borderId="1" xfId="0" applyFont="1" applyFill="1" applyBorder="1" applyAlignment="1">
      <alignment horizontal="center" vertical="center" wrapText="1"/>
    </xf>
  </cellXfs>
  <cellStyles count="3">
    <cellStyle name="Moeda" xfId="1" builtinId="4"/>
    <cellStyle name="Normal" xfId="0" builtinId="0"/>
    <cellStyle name="Vírgula" xfId="2" builtinId="3"/>
  </cellStyles>
  <dxfs count="69">
    <dxf>
      <font>
        <b/>
        <i val="0"/>
        <strike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fill>
        <patternFill>
          <fgColor indexed="64"/>
          <bgColor theme="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font>
        <b/>
        <i val="0"/>
        <strike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fill>
        <patternFill>
          <fgColor indexed="64"/>
          <bgColor theme="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font>
        <b/>
        <i val="0"/>
        <strike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fill>
        <patternFill>
          <fgColor indexed="64"/>
          <bgColor theme="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font>
        <b/>
        <i val="0"/>
        <strike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fill>
        <patternFill>
          <fgColor indexed="64"/>
          <bgColor theme="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font>
        <b/>
        <i val="0"/>
        <strike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numFmt numFmtId="1" formatCode="0"/>
      <fill>
        <patternFill>
          <fgColor indexed="64"/>
          <bgColor theme="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font>
        <b/>
        <i val="0"/>
        <strike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fill>
        <patternFill>
          <fgColor indexed="64"/>
          <bgColor theme="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font>
        <b/>
        <i val="0"/>
        <strike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fill>
        <patternFill>
          <fgColor indexed="64"/>
          <bgColor theme="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font>
        <b/>
        <i val="0"/>
        <strike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fill>
        <patternFill>
          <fgColor indexed="64"/>
          <bgColor theme="0"/>
        </patternFill>
      </fill>
      <border diagonalUp="0" diagonalDown="0">
        <left style="thin">
          <color theme="0" tint="-0.499984740745262"/>
        </left>
        <right/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font>
        <b/>
        <i val="0"/>
        <strike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fill>
        <patternFill>
          <fgColor indexed="64"/>
          <bgColor theme="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font>
        <b/>
        <i val="0"/>
        <strike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fill>
        <patternFill>
          <fgColor indexed="64"/>
          <bgColor theme="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font>
        <b/>
        <i val="0"/>
        <strike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fill>
        <patternFill>
          <fgColor indexed="64"/>
          <bgColor theme="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font>
        <b/>
        <i val="0"/>
        <strike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fill>
        <patternFill>
          <fgColor indexed="64"/>
          <bgColor theme="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font>
        <b/>
        <i val="0"/>
        <strike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fill>
        <patternFill>
          <fgColor indexed="64"/>
          <bgColor theme="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font>
        <b/>
        <i val="0"/>
        <strike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fill>
        <patternFill>
          <fgColor indexed="64"/>
          <bgColor theme="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font>
        <b/>
        <i val="0"/>
        <strike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fill>
        <patternFill>
          <fgColor indexed="64"/>
          <bgColor theme="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font>
        <b/>
        <i val="0"/>
        <strike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fill>
        <patternFill>
          <fgColor indexed="64"/>
          <bgColor theme="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font>
        <b/>
        <i val="0"/>
        <strike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fill>
        <patternFill>
          <fgColor indexed="64"/>
          <bgColor theme="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font>
        <b/>
        <i val="0"/>
        <strike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fill>
        <patternFill>
          <fgColor indexed="64"/>
          <bgColor theme="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font>
        <b/>
        <i val="0"/>
        <strike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fill>
        <patternFill>
          <fgColor indexed="64"/>
          <bgColor theme="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font>
        <b/>
        <i val="0"/>
        <strike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fill>
        <patternFill>
          <fgColor indexed="64"/>
          <bgColor theme="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font>
        <b/>
        <i val="0"/>
        <strike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fill>
        <patternFill>
          <fgColor indexed="64"/>
          <bgColor theme="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font>
        <b/>
        <i val="0"/>
        <strike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fill>
        <patternFill>
          <fgColor indexed="64"/>
          <bgColor theme="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font>
        <b/>
        <i val="0"/>
        <strike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fill>
        <patternFill>
          <fgColor indexed="64"/>
          <bgColor theme="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/>
        <vertical/>
        <horizontal/>
      </border>
    </dxf>
    <dxf>
      <font>
        <b/>
        <i val="0"/>
        <strike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fill>
        <patternFill>
          <fgColor indexed="64"/>
          <bgColor theme="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font>
        <b/>
        <i val="0"/>
        <strike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fill>
        <patternFill>
          <fgColor indexed="64"/>
          <bgColor theme="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font>
        <b/>
        <i val="0"/>
        <strike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fill>
        <patternFill>
          <fgColor indexed="64"/>
          <bgColor theme="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font>
        <b/>
        <i val="0"/>
        <strike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fill>
        <patternFill>
          <fgColor indexed="64"/>
          <bgColor theme="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numFmt numFmtId="164" formatCode="dd/mm/yyyy\ hh:mm:ss"/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  <border diagonalUp="0" diagonalDown="0">
        <left/>
        <right style="thin">
          <color theme="0" tint="-0.499984740745262"/>
        </right>
        <top style="thin">
          <color theme="0" tint="-0.499984740745262"/>
        </top>
        <bottom/>
        <vertical/>
        <horizontal/>
      </border>
    </dxf>
    <dxf>
      <font>
        <b/>
        <i val="0"/>
        <strike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numFmt numFmtId="164" formatCode="dd/mm/yyyy\ hh:mm:ss"/>
      <fill>
        <patternFill>
          <fgColor indexed="64"/>
          <bgColor theme="0"/>
        </patternFill>
      </fill>
      <border diagonalUp="0" diagonalDown="0">
        <left/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border>
        <top style="thin">
          <color theme="0" tint="-0.499984740745262"/>
        </top>
      </border>
    </dxf>
    <dxf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b/>
        <i val="0"/>
        <strike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fill>
        <patternFill>
          <fgColor indexed="64"/>
          <bgColor theme="0"/>
        </patternFill>
      </fill>
    </dxf>
    <dxf>
      <border outline="0">
        <bottom style="thin">
          <color theme="0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 tint="-4.9989318521683403E-2"/>
        <name val="Helvetica"/>
        <scheme val="none"/>
      </font>
      <fill>
        <patternFill patternType="solid">
          <fgColor indexed="64"/>
          <bgColor theme="4" tint="-0.499984740745262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/>
      </border>
    </dxf>
    <dxf>
      <font>
        <b/>
        <i val="0"/>
        <strike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numFmt numFmtId="0" formatCode="General"/>
      <fill>
        <patternFill>
          <fgColor indexed="64"/>
          <bgColor theme="0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fill>
        <patternFill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numFmt numFmtId="1" formatCode="0"/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numFmt numFmtId="1" formatCode="0"/>
      <fill>
        <patternFill>
          <fgColor indexed="64"/>
          <bgColor theme="0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/>
      </border>
    </dxf>
    <dxf>
      <font>
        <b/>
        <i val="0"/>
        <strike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0" tint="-0.499984740745262"/>
        </left>
        <right/>
        <top style="thin">
          <color theme="0" tint="-0.499984740745262"/>
        </top>
        <bottom/>
        <vertical/>
        <horizontal/>
      </border>
    </dxf>
    <dxf>
      <font>
        <b/>
        <i val="0"/>
        <strike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fill>
        <patternFill>
          <fgColor indexed="64"/>
          <bgColor theme="0"/>
        </patternFill>
      </fill>
      <border diagonalUp="0" diagonalDown="0">
        <left style="thin">
          <color theme="0" tint="-0.499984740745262"/>
        </left>
        <right/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font>
        <b/>
        <i val="0"/>
        <strike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fill>
        <patternFill>
          <fgColor indexed="64"/>
          <bgColor theme="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font>
        <b/>
        <i val="0"/>
        <strike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fill>
        <patternFill>
          <fgColor indexed="64"/>
          <bgColor theme="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font>
        <b/>
        <i val="0"/>
        <strike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fill>
        <patternFill>
          <fgColor indexed="64"/>
          <bgColor theme="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font>
        <b/>
        <i val="0"/>
        <strike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fill>
        <patternFill>
          <fgColor indexed="64"/>
          <bgColor theme="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font>
        <b/>
        <i val="0"/>
        <strike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fill>
        <patternFill>
          <fgColor indexed="64"/>
          <bgColor theme="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font>
        <b/>
        <i val="0"/>
        <strike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fill>
        <patternFill>
          <fgColor indexed="64"/>
          <bgColor theme="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font>
        <b/>
        <i val="0"/>
        <strike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fill>
        <patternFill>
          <fgColor indexed="64"/>
          <bgColor theme="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font>
        <b/>
        <i val="0"/>
        <strike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fill>
        <patternFill>
          <fgColor indexed="64"/>
          <bgColor theme="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font>
        <b/>
        <i val="0"/>
        <strike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fill>
        <patternFill>
          <fgColor indexed="64"/>
          <bgColor theme="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font>
        <b/>
        <i val="0"/>
        <strike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fill>
        <patternFill>
          <fgColor indexed="64"/>
          <bgColor theme="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font>
        <b/>
        <i val="0"/>
        <strike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fill>
        <patternFill>
          <fgColor indexed="64"/>
          <bgColor theme="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font>
        <b/>
        <i val="0"/>
        <strike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fill>
        <patternFill>
          <fgColor indexed="64"/>
          <bgColor theme="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font>
        <b/>
        <i val="0"/>
        <strike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fill>
        <patternFill>
          <fgColor indexed="64"/>
          <bgColor theme="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font>
        <b/>
        <i val="0"/>
        <strike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fill>
        <patternFill>
          <fgColor indexed="64"/>
          <bgColor theme="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font>
        <b/>
        <i val="0"/>
        <strike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fill>
        <patternFill>
          <fgColor indexed="64"/>
          <bgColor theme="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/>
        <vertical/>
        <horizontal/>
      </border>
    </dxf>
    <dxf>
      <font>
        <b/>
        <i val="0"/>
        <strike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fill>
        <patternFill>
          <fgColor indexed="64"/>
          <bgColor theme="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font>
        <b/>
        <i val="0"/>
        <strike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fill>
        <patternFill>
          <fgColor indexed="64"/>
          <bgColor theme="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font>
        <b/>
        <i val="0"/>
        <strike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fill>
        <patternFill>
          <fgColor indexed="64"/>
          <bgColor theme="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font>
        <b/>
        <i val="0"/>
        <strike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fill>
        <patternFill>
          <fgColor indexed="64"/>
          <bgColor theme="0"/>
        </patternFill>
      </fill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numFmt numFmtId="19" formatCode="dd/mm/yyyy"/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  <border diagonalUp="0" diagonalDown="0">
        <left/>
        <right style="thin">
          <color theme="0" tint="-0.499984740745262"/>
        </right>
        <top style="thin">
          <color theme="0" tint="-0.499984740745262"/>
        </top>
        <bottom/>
        <vertical/>
        <horizontal/>
      </border>
    </dxf>
    <dxf>
      <font>
        <b/>
        <i val="0"/>
        <strike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numFmt numFmtId="19" formatCode="dd/mm/yyyy"/>
      <fill>
        <patternFill>
          <fgColor indexed="64"/>
          <bgColor theme="0"/>
        </patternFill>
      </fill>
      <border diagonalUp="0" diagonalDown="0">
        <left/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border>
        <top style="thin">
          <color theme="0" tint="-0.499984740745262"/>
        </top>
      </border>
    </dxf>
    <dxf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b/>
        <i val="0"/>
        <strike val="0"/>
        <outline val="0"/>
        <shadow val="0"/>
        <u val="none"/>
        <vertAlign val="baseline"/>
        <sz val="11"/>
        <color theme="0" tint="-0.499984740745262"/>
        <name val="Helvetica"/>
        <scheme val="none"/>
      </font>
      <fill>
        <patternFill>
          <fgColor indexed="64"/>
          <bgColor theme="0"/>
        </patternFill>
      </fill>
    </dxf>
    <dxf>
      <border>
        <bottom style="thin">
          <color theme="0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 tint="-4.9989318521683403E-2"/>
        <name val="Helvetica"/>
        <scheme val="none"/>
      </font>
      <fill>
        <patternFill patternType="solid">
          <fgColor indexed="64"/>
          <bgColor theme="4" tint="-0.499984740745262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  <vertical style="thin">
          <color theme="0" tint="-0.499984740745262"/>
        </vertical>
        <horizontal style="thin">
          <color theme="0" tint="-0.499984740745262"/>
        </horizontal>
      </border>
    </dxf>
  </dxfs>
  <tableStyles count="0" defaultTableStyle="TableStyleMedium2" defaultPivotStyle="PivotStyleLight16"/>
  <colors>
    <mruColors>
      <color rgb="FFF8F200"/>
      <color rgb="FFF7F7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1011</xdr:colOff>
      <xdr:row>14</xdr:row>
      <xdr:rowOff>42609</xdr:rowOff>
    </xdr:from>
    <xdr:to>
      <xdr:col>50</xdr:col>
      <xdr:colOff>139259</xdr:colOff>
      <xdr:row>17</xdr:row>
      <xdr:rowOff>68111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6718F36B-5A30-33F3-5306-601E92060FF9}"/>
            </a:ext>
          </a:extLst>
        </xdr:cNvPr>
        <xdr:cNvGrpSpPr/>
      </xdr:nvGrpSpPr>
      <xdr:grpSpPr>
        <a:xfrm>
          <a:off x="6948658" y="2263279"/>
          <a:ext cx="918850" cy="492339"/>
          <a:chOff x="6756143" y="2153345"/>
          <a:chExt cx="900224" cy="482696"/>
        </a:xfrm>
      </xdr:grpSpPr>
      <xdr:sp macro="" textlink="">
        <xdr:nvSpPr>
          <xdr:cNvPr id="5124" name="Check Box 4" hidden="1">
            <a:extLst>
              <a:ext uri="{63B3BB69-23CF-44E3-9099-C40C66FF867C}">
                <a14:compatExt xmlns:a14="http://schemas.microsoft.com/office/drawing/2010/main" spid="_x0000_s5124"/>
              </a:ext>
              <a:ext uri="{FF2B5EF4-FFF2-40B4-BE49-F238E27FC236}">
                <a16:creationId xmlns:a16="http://schemas.microsoft.com/office/drawing/2014/main" id="{00000000-0008-0000-0400-000004140000}"/>
              </a:ext>
            </a:extLst>
          </xdr:cNvPr>
          <xdr:cNvSpPr/>
        </xdr:nvSpPr>
        <xdr:spPr bwMode="auto">
          <a:xfrm>
            <a:off x="6757522" y="2153345"/>
            <a:ext cx="898845" cy="27074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0" bIns="27432" anchor="ctr" upright="1"/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Segoe UI"/>
                <a:cs typeface="Segoe UI"/>
              </a:rPr>
              <a:t>Num 1 Inválido</a:t>
            </a:r>
          </a:p>
        </xdr:txBody>
      </xdr:sp>
      <xdr:sp macro="" textlink="">
        <xdr:nvSpPr>
          <xdr:cNvPr id="5125" name="Check Box 5" hidden="1">
            <a:extLst>
              <a:ext uri="{63B3BB69-23CF-44E3-9099-C40C66FF867C}">
                <a14:compatExt xmlns:a14="http://schemas.microsoft.com/office/drawing/2010/main" spid="_x0000_s5125"/>
              </a:ext>
              <a:ext uri="{FF2B5EF4-FFF2-40B4-BE49-F238E27FC236}">
                <a16:creationId xmlns:a16="http://schemas.microsoft.com/office/drawing/2014/main" id="{00000000-0008-0000-0400-000005140000}"/>
              </a:ext>
            </a:extLst>
          </xdr:cNvPr>
          <xdr:cNvSpPr/>
        </xdr:nvSpPr>
        <xdr:spPr bwMode="auto">
          <a:xfrm>
            <a:off x="6756143" y="2361722"/>
            <a:ext cx="884452" cy="2743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0" bIns="27432" anchor="ctr" upright="1"/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Segoe UI"/>
                <a:cs typeface="Segoe UI"/>
              </a:rPr>
              <a:t>Num 2 Inválido</a:t>
            </a:r>
          </a:p>
        </xdr:txBody>
      </xdr:sp>
    </xdr:grpSp>
    <xdr:clientData/>
  </xdr:twoCellAnchor>
  <xdr:twoCellAnchor>
    <xdr:from>
      <xdr:col>1</xdr:col>
      <xdr:colOff>15240</xdr:colOff>
      <xdr:row>29</xdr:row>
      <xdr:rowOff>182880</xdr:rowOff>
    </xdr:from>
    <xdr:to>
      <xdr:col>9</xdr:col>
      <xdr:colOff>38100</xdr:colOff>
      <xdr:row>32</xdr:row>
      <xdr:rowOff>76200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8F74757A-643E-435E-A97A-0F93A20ABDB1}"/>
            </a:ext>
          </a:extLst>
        </xdr:cNvPr>
        <xdr:cNvSpPr txBox="1"/>
      </xdr:nvSpPr>
      <xdr:spPr>
        <a:xfrm>
          <a:off x="167640" y="4701540"/>
          <a:ext cx="113538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00" b="1" kern="1200">
              <a:solidFill>
                <a:sysClr val="windowText" lastClr="000000"/>
              </a:solidFill>
            </a:rPr>
            <a:t>Observação</a:t>
          </a:r>
          <a:r>
            <a:rPr lang="pt-BR" sz="1000" b="1" kern="1200" baseline="0">
              <a:solidFill>
                <a:sysClr val="windowText" lastClr="000000"/>
              </a:solidFill>
            </a:rPr>
            <a:t> do Atendimento:</a:t>
          </a:r>
          <a:endParaRPr lang="pt-BR" sz="1000" b="1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105592</xdr:colOff>
      <xdr:row>8</xdr:row>
      <xdr:rowOff>126431</xdr:rowOff>
    </xdr:from>
    <xdr:to>
      <xdr:col>9</xdr:col>
      <xdr:colOff>10886</xdr:colOff>
      <xdr:row>9</xdr:row>
      <xdr:rowOff>186613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0EDB872C-862B-4005-90D4-606F2A286E67}"/>
            </a:ext>
          </a:extLst>
        </xdr:cNvPr>
        <xdr:cNvSpPr txBox="1"/>
      </xdr:nvSpPr>
      <xdr:spPr>
        <a:xfrm>
          <a:off x="105592" y="1347186"/>
          <a:ext cx="1157151" cy="2156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00" b="1" kern="1200"/>
            <a:t>Endereço</a:t>
          </a:r>
        </a:p>
      </xdr:txBody>
    </xdr:sp>
    <xdr:clientData/>
  </xdr:twoCellAnchor>
  <xdr:twoCellAnchor>
    <xdr:from>
      <xdr:col>57</xdr:col>
      <xdr:colOff>116632</xdr:colOff>
      <xdr:row>18</xdr:row>
      <xdr:rowOff>69980</xdr:rowOff>
    </xdr:from>
    <xdr:to>
      <xdr:col>65</xdr:col>
      <xdr:colOff>139959</xdr:colOff>
      <xdr:row>22</xdr:row>
      <xdr:rowOff>93306</xdr:rowOff>
    </xdr:to>
    <xdr:sp macro="[0]!Cadastrar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6B5BBC51-195A-2BE9-CEC6-4AFBF4A19B65}"/>
            </a:ext>
          </a:extLst>
        </xdr:cNvPr>
        <xdr:cNvSpPr/>
      </xdr:nvSpPr>
      <xdr:spPr>
        <a:xfrm>
          <a:off x="8654142" y="2869164"/>
          <a:ext cx="1267409" cy="513183"/>
        </a:xfrm>
        <a:prstGeom prst="roundRect">
          <a:avLst/>
        </a:prstGeom>
        <a:solidFill>
          <a:schemeClr val="accent3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kern="1200"/>
            <a:t>CADASTRAR ATENDIMENTO</a:t>
          </a:r>
        </a:p>
        <a:p>
          <a:pPr algn="ctr"/>
          <a:endParaRPr lang="pt-BR" sz="1100" b="1" kern="1200"/>
        </a:p>
      </xdr:txBody>
    </xdr:sp>
    <xdr:clientData/>
  </xdr:twoCellAnchor>
  <xdr:twoCellAnchor>
    <xdr:from>
      <xdr:col>57</xdr:col>
      <xdr:colOff>113522</xdr:colOff>
      <xdr:row>23</xdr:row>
      <xdr:rowOff>20217</xdr:rowOff>
    </xdr:from>
    <xdr:to>
      <xdr:col>65</xdr:col>
      <xdr:colOff>136849</xdr:colOff>
      <xdr:row>26</xdr:row>
      <xdr:rowOff>74645</xdr:rowOff>
    </xdr:to>
    <xdr:sp macro="[0]!Limpar_Campos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42E8A284-BA20-4AE5-AFEF-D1AABE6DA92A}"/>
            </a:ext>
          </a:extLst>
        </xdr:cNvPr>
        <xdr:cNvSpPr/>
      </xdr:nvSpPr>
      <xdr:spPr>
        <a:xfrm>
          <a:off x="8651032" y="3534748"/>
          <a:ext cx="1267409" cy="513183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kern="1200"/>
            <a:t>LIMPAR</a:t>
          </a:r>
          <a:r>
            <a:rPr lang="pt-BR" sz="1100" b="1" kern="1200" baseline="0"/>
            <a:t> FORMULÁRIO</a:t>
          </a:r>
          <a:endParaRPr lang="pt-BR" sz="1100" b="1" kern="1200"/>
        </a:p>
        <a:p>
          <a:pPr algn="ctr"/>
          <a:endParaRPr lang="pt-BR" sz="1100" b="1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0</xdr:colOff>
          <xdr:row>2</xdr:row>
          <xdr:rowOff>134471</xdr:rowOff>
        </xdr:from>
        <xdr:to>
          <xdr:col>52</xdr:col>
          <xdr:colOff>104775</xdr:colOff>
          <xdr:row>4</xdr:row>
          <xdr:rowOff>142875</xdr:rowOff>
        </xdr:to>
        <xdr:sp macro="" textlink="">
          <xdr:nvSpPr>
            <xdr:cNvPr id="5146" name="Check Box 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5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7F7EF"/>
            </a:solidFill>
            <a:ln w="9525">
              <a:solidFill>
                <a:srgbClr val="0F243E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Receptivo</a:t>
              </a:r>
            </a:p>
          </xdr:txBody>
        </xdr:sp>
        <xdr:clientData/>
      </xdr:twoCellAnchor>
    </mc:Choice>
    <mc:Fallback/>
  </mc:AlternateContent>
  <xdr:twoCellAnchor>
    <xdr:from>
      <xdr:col>24</xdr:col>
      <xdr:colOff>0</xdr:colOff>
      <xdr:row>17</xdr:row>
      <xdr:rowOff>0</xdr:rowOff>
    </xdr:from>
    <xdr:to>
      <xdr:col>29</xdr:col>
      <xdr:colOff>53340</xdr:colOff>
      <xdr:row>20</xdr:row>
      <xdr:rowOff>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C05F916C-12AF-4219-BEE9-4AB1867EDFC4}"/>
            </a:ext>
          </a:extLst>
        </xdr:cNvPr>
        <xdr:cNvSpPr txBox="1"/>
      </xdr:nvSpPr>
      <xdr:spPr>
        <a:xfrm>
          <a:off x="3550920" y="2613660"/>
          <a:ext cx="815340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00" b="1" kern="1200">
              <a:solidFill>
                <a:sysClr val="windowText" lastClr="000000"/>
              </a:solidFill>
            </a:rPr>
            <a:t>Observação</a:t>
          </a:r>
          <a:r>
            <a:rPr lang="pt-BR" sz="1000" b="1" kern="1200" baseline="0">
              <a:solidFill>
                <a:sysClr val="windowText" lastClr="000000"/>
              </a:solidFill>
            </a:rPr>
            <a:t> do Contato:</a:t>
          </a:r>
        </a:p>
      </xdr:txBody>
    </xdr:sp>
    <xdr:clientData/>
  </xdr:twoCellAnchor>
  <xdr:twoCellAnchor>
    <xdr:from>
      <xdr:col>45</xdr:col>
      <xdr:colOff>0</xdr:colOff>
      <xdr:row>14</xdr:row>
      <xdr:rowOff>45720</xdr:rowOff>
    </xdr:from>
    <xdr:to>
      <xdr:col>50</xdr:col>
      <xdr:colOff>137160</xdr:colOff>
      <xdr:row>17</xdr:row>
      <xdr:rowOff>68580</xdr:rowOff>
    </xdr:to>
    <xdr:grpSp>
      <xdr:nvGrpSpPr>
        <xdr:cNvPr id="5149" name="Agrupar 13">
          <a:extLst>
            <a:ext uri="{FF2B5EF4-FFF2-40B4-BE49-F238E27FC236}">
              <a16:creationId xmlns:a16="http://schemas.microsoft.com/office/drawing/2014/main" id="{B7AD0114-4F61-D1DE-6167-E4917CD49465}"/>
            </a:ext>
          </a:extLst>
        </xdr:cNvPr>
        <xdr:cNvGrpSpPr>
          <a:grpSpLocks/>
        </xdr:cNvGrpSpPr>
      </xdr:nvGrpSpPr>
      <xdr:grpSpPr bwMode="auto">
        <a:xfrm>
          <a:off x="6947647" y="2266390"/>
          <a:ext cx="917762" cy="489697"/>
          <a:chOff x="67561" y="21533"/>
          <a:chExt cx="9002" cy="4826"/>
        </a:xfrm>
      </xdr:grpSpPr>
      <xdr:sp macro="" textlink="">
        <xdr:nvSpPr>
          <xdr:cNvPr id="2" name="Check Box 4" hidden="1">
            <a:extLst>
              <a:ext uri="{63B3BB69-23CF-44E3-9099-C40C66FF867C}">
                <a14:compatExt xmlns:a14="http://schemas.microsoft.com/office/drawing/2010/main" spid="_x0000_s5124"/>
              </a:ext>
              <a:ext uri="{FF2B5EF4-FFF2-40B4-BE49-F238E27FC236}">
                <a16:creationId xmlns:a16="http://schemas.microsoft.com/office/drawing/2014/main" id="{0B574CF6-3710-98FC-17BB-E49FC90667CA}"/>
              </a:ext>
            </a:extLst>
          </xdr:cNvPr>
          <xdr:cNvSpPr/>
        </xdr:nvSpPr>
        <xdr:spPr bwMode="auto">
          <a:xfrm>
            <a:off x="67575" y="21533"/>
            <a:ext cx="8988" cy="270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0" bIns="27432" anchor="ctr" upright="1"/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Segoe UI"/>
                <a:cs typeface="Segoe UI"/>
              </a:rPr>
              <a:t>Num 1 Inválido</a:t>
            </a:r>
          </a:p>
        </xdr:txBody>
      </xdr:sp>
      <xdr:sp macro="" textlink="">
        <xdr:nvSpPr>
          <xdr:cNvPr id="3" name="Check Box 5" hidden="1">
            <a:extLst>
              <a:ext uri="{63B3BB69-23CF-44E3-9099-C40C66FF867C}">
                <a14:compatExt xmlns:a14="http://schemas.microsoft.com/office/drawing/2010/main" spid="_x0000_s5125"/>
              </a:ext>
              <a:ext uri="{FF2B5EF4-FFF2-40B4-BE49-F238E27FC236}">
                <a16:creationId xmlns:a16="http://schemas.microsoft.com/office/drawing/2014/main" id="{66ACD052-1F10-01B7-6193-2D67F342A790}"/>
              </a:ext>
            </a:extLst>
          </xdr:cNvPr>
          <xdr:cNvSpPr/>
        </xdr:nvSpPr>
        <xdr:spPr bwMode="auto">
          <a:xfrm>
            <a:off x="67561" y="23617"/>
            <a:ext cx="8844" cy="27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0" bIns="27432" anchor="ctr" upright="1"/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Segoe UI"/>
                <a:cs typeface="Segoe UI"/>
              </a:rPr>
              <a:t>Num 2 Inválido</a:t>
            </a:r>
          </a:p>
        </xdr:txBody>
      </xdr:sp>
    </xdr:grpSp>
    <xdr:clientData/>
  </xdr:twoCellAnchor>
  <xdr:twoCellAnchor>
    <xdr:from>
      <xdr:col>45</xdr:col>
      <xdr:colOff>0</xdr:colOff>
      <xdr:row>14</xdr:row>
      <xdr:rowOff>45720</xdr:rowOff>
    </xdr:from>
    <xdr:to>
      <xdr:col>50</xdr:col>
      <xdr:colOff>137160</xdr:colOff>
      <xdr:row>17</xdr:row>
      <xdr:rowOff>68580</xdr:rowOff>
    </xdr:to>
    <xdr:grpSp>
      <xdr:nvGrpSpPr>
        <xdr:cNvPr id="5153" name="Group 33">
          <a:extLst>
            <a:ext uri="{FF2B5EF4-FFF2-40B4-BE49-F238E27FC236}">
              <a16:creationId xmlns:a16="http://schemas.microsoft.com/office/drawing/2014/main" id="{3BAE1CF7-D95C-8662-8BA7-6FF48FD9DD1E}"/>
            </a:ext>
          </a:extLst>
        </xdr:cNvPr>
        <xdr:cNvGrpSpPr>
          <a:grpSpLocks/>
        </xdr:cNvGrpSpPr>
      </xdr:nvGrpSpPr>
      <xdr:grpSpPr bwMode="auto">
        <a:xfrm>
          <a:off x="6947647" y="2266390"/>
          <a:ext cx="917762" cy="489697"/>
          <a:chOff x="67561" y="21533"/>
          <a:chExt cx="9002" cy="4827"/>
        </a:xfrm>
      </xdr:grpSpPr>
      <xdr:sp macro="" textlink="">
        <xdr:nvSpPr>
          <xdr:cNvPr id="4" name="Check Box 4" hidden="1">
            <a:extLst>
              <a:ext uri="{63B3BB69-23CF-44E3-9099-C40C66FF867C}">
                <a14:compatExt xmlns:a14="http://schemas.microsoft.com/office/drawing/2010/main" spid="_x0000_s5124"/>
              </a:ex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 bwMode="auto">
          <a:xfrm>
            <a:off x="67575" y="21533"/>
            <a:ext cx="8988" cy="270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0" bIns="27432" anchor="ctr" upright="1"/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Segoe UI"/>
                <a:cs typeface="Segoe UI"/>
              </a:rPr>
              <a:t>Num 1 Inválido</a:t>
            </a:r>
          </a:p>
        </xdr:txBody>
      </xdr:sp>
      <xdr:sp macro="" textlink="">
        <xdr:nvSpPr>
          <xdr:cNvPr id="7" name="Check Box 5" hidden="1">
            <a:extLst>
              <a:ext uri="{63B3BB69-23CF-44E3-9099-C40C66FF867C}">
                <a14:compatExt xmlns:a14="http://schemas.microsoft.com/office/drawing/2010/main" spid="_x0000_s5125"/>
              </a:ex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 bwMode="auto">
          <a:xfrm>
            <a:off x="67561" y="23617"/>
            <a:ext cx="8844" cy="27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0" bIns="27432" anchor="ctr" upright="1"/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Segoe UI"/>
                <a:cs typeface="Segoe UI"/>
              </a:rPr>
              <a:t>Num 2 Inválido</a:t>
            </a:r>
          </a:p>
        </xdr:txBody>
      </xdr:sp>
    </xdr:grpSp>
    <xdr:clientData/>
  </xdr:twoCellAnchor>
  <xdr:twoCellAnchor>
    <xdr:from>
      <xdr:col>44</xdr:col>
      <xdr:colOff>83820</xdr:colOff>
      <xdr:row>27</xdr:row>
      <xdr:rowOff>205740</xdr:rowOff>
    </xdr:from>
    <xdr:to>
      <xdr:col>48</xdr:col>
      <xdr:colOff>144780</xdr:colOff>
      <xdr:row>29</xdr:row>
      <xdr:rowOff>38100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6FE111F1-3101-4B47-A84B-EEAC9B7EC8F6}"/>
            </a:ext>
          </a:extLst>
        </xdr:cNvPr>
        <xdr:cNvSpPr txBox="1"/>
      </xdr:nvSpPr>
      <xdr:spPr>
        <a:xfrm>
          <a:off x="6682740" y="4290060"/>
          <a:ext cx="670560" cy="243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00" b="1" kern="1200">
              <a:solidFill>
                <a:sysClr val="windowText" lastClr="000000"/>
              </a:solidFill>
            </a:rPr>
            <a:t>Quanto?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78442</xdr:colOff>
          <xdr:row>0</xdr:row>
          <xdr:rowOff>47064</xdr:rowOff>
        </xdr:from>
        <xdr:to>
          <xdr:col>46</xdr:col>
          <xdr:colOff>41799</xdr:colOff>
          <xdr:row>4</xdr:row>
          <xdr:rowOff>59838</xdr:rowOff>
        </xdr:to>
        <xdr:grpSp>
          <xdr:nvGrpSpPr>
            <xdr:cNvPr id="19" name="Agrupar 18">
              <a:extLst>
                <a:ext uri="{FF2B5EF4-FFF2-40B4-BE49-F238E27FC236}">
                  <a16:creationId xmlns:a16="http://schemas.microsoft.com/office/drawing/2014/main" id="{3E3AC14C-81B7-C16A-9AF5-F5DF6FE20AF6}"/>
                </a:ext>
              </a:extLst>
            </xdr:cNvPr>
            <xdr:cNvGrpSpPr/>
          </xdr:nvGrpSpPr>
          <xdr:grpSpPr>
            <a:xfrm>
              <a:off x="4986618" y="48969"/>
              <a:ext cx="2159710" cy="578559"/>
              <a:chOff x="3956892" y="39175"/>
              <a:chExt cx="2973261" cy="597234"/>
            </a:xfrm>
          </xdr:grpSpPr>
          <xdr:grpSp>
            <xdr:nvGrpSpPr>
              <xdr:cNvPr id="13" name="Agrupar 12">
                <a:extLst>
                  <a:ext uri="{FF2B5EF4-FFF2-40B4-BE49-F238E27FC236}">
                    <a16:creationId xmlns:a16="http://schemas.microsoft.com/office/drawing/2014/main" id="{49F63CBD-8E37-CF9B-64F2-65F012C6AB7B}"/>
                  </a:ext>
                </a:extLst>
              </xdr:cNvPr>
              <xdr:cNvGrpSpPr/>
            </xdr:nvGrpSpPr>
            <xdr:grpSpPr>
              <a:xfrm>
                <a:off x="3956892" y="44550"/>
                <a:ext cx="2973261" cy="591859"/>
                <a:chOff x="5040023" y="49281"/>
                <a:chExt cx="2794006" cy="646704"/>
              </a:xfrm>
            </xdr:grpSpPr>
            <xdr:sp macro="" textlink="">
              <xdr:nvSpPr>
                <xdr:cNvPr id="5121" name="Check Box 1" descr="1º Atend" hidden="1">
                  <a:extLst>
                    <a:ext uri="{63B3BB69-23CF-44E3-9099-C40C66FF867C}">
                      <a14:compatExt spid="_x0000_s5121"/>
                    </a:ext>
                    <a:ext uri="{FF2B5EF4-FFF2-40B4-BE49-F238E27FC236}">
                      <a16:creationId xmlns:a16="http://schemas.microsoft.com/office/drawing/2014/main" id="{00000000-0008-0000-0500-000001140000}"/>
                    </a:ext>
                  </a:extLst>
                </xdr:cNvPr>
                <xdr:cNvSpPr/>
              </xdr:nvSpPr>
              <xdr:spPr bwMode="auto">
                <a:xfrm>
                  <a:off x="5047778" y="49281"/>
                  <a:ext cx="1396486" cy="279201"/>
                </a:xfrm>
                <a:prstGeom prst="rect">
                  <a:avLst/>
                </a:prstGeom>
                <a:solidFill>
                  <a:srgbClr val="F7F7EF"/>
                </a:solidFill>
                <a:ln w="9525">
                  <a:solidFill>
                    <a:srgbClr val="0F243E"/>
                  </a:solidFill>
                  <a:miter lim="800000"/>
                  <a:headEnd/>
                  <a:tailEnd/>
                </a:ln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pt-BR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1º Atendimento</a:t>
                  </a:r>
                </a:p>
              </xdr:txBody>
            </xdr:sp>
            <xdr:sp macro="" textlink="">
              <xdr:nvSpPr>
                <xdr:cNvPr id="5122" name="Check Box 2" hidden="1">
                  <a:extLst>
                    <a:ext uri="{63B3BB69-23CF-44E3-9099-C40C66FF867C}">
                      <a14:compatExt spid="_x0000_s5122"/>
                    </a:ext>
                    <a:ext uri="{FF2B5EF4-FFF2-40B4-BE49-F238E27FC236}">
                      <a16:creationId xmlns:a16="http://schemas.microsoft.com/office/drawing/2014/main" id="{00000000-0008-0000-0500-000002140000}"/>
                    </a:ext>
                  </a:extLst>
                </xdr:cNvPr>
                <xdr:cNvSpPr/>
              </xdr:nvSpPr>
              <xdr:spPr bwMode="auto">
                <a:xfrm>
                  <a:off x="5040023" y="390618"/>
                  <a:ext cx="1389765" cy="286947"/>
                </a:xfrm>
                <a:prstGeom prst="rect">
                  <a:avLst/>
                </a:prstGeom>
                <a:solidFill>
                  <a:srgbClr val="F7F7EF"/>
                </a:solidFill>
                <a:ln w="9525">
                  <a:solidFill>
                    <a:srgbClr val="0F243E"/>
                  </a:solidFill>
                  <a:miter lim="800000"/>
                  <a:headEnd/>
                  <a:tailEnd/>
                </a:ln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pt-BR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2º Atendimento</a:t>
                  </a:r>
                </a:p>
              </xdr:txBody>
            </xdr:sp>
            <xdr:sp macro="" textlink="">
              <xdr:nvSpPr>
                <xdr:cNvPr id="5123" name="Check Box 3" hidden="1">
                  <a:extLst>
                    <a:ext uri="{63B3BB69-23CF-44E3-9099-C40C66FF867C}">
                      <a14:compatExt spid="_x0000_s5123"/>
                    </a:ext>
                    <a:ext uri="{FF2B5EF4-FFF2-40B4-BE49-F238E27FC236}">
                      <a16:creationId xmlns:a16="http://schemas.microsoft.com/office/drawing/2014/main" id="{00000000-0008-0000-0500-000003140000}"/>
                    </a:ext>
                  </a:extLst>
                </xdr:cNvPr>
                <xdr:cNvSpPr/>
              </xdr:nvSpPr>
              <xdr:spPr bwMode="auto">
                <a:xfrm>
                  <a:off x="6523375" y="394119"/>
                  <a:ext cx="1310654" cy="301866"/>
                </a:xfrm>
                <a:prstGeom prst="rect">
                  <a:avLst/>
                </a:prstGeom>
                <a:solidFill>
                  <a:srgbClr val="F7F7EF"/>
                </a:solidFill>
                <a:ln w="9525">
                  <a:solidFill>
                    <a:srgbClr val="0F243E"/>
                  </a:solidFill>
                  <a:miter lim="800000"/>
                  <a:headEnd/>
                  <a:tailEnd/>
                </a:ln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pt-BR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3º Atendimento</a:t>
                  </a:r>
                </a:p>
              </xdr:txBody>
            </xdr:sp>
          </xdr:grpSp>
          <xdr:sp macro="" textlink="">
            <xdr:nvSpPr>
              <xdr:cNvPr id="8" name="Check Box 33" hidden="1">
                <a:extLst>
                  <a:ext uri="{63B3BB69-23CF-44E3-9099-C40C66FF867C}">
                    <a14:compatExt spid="_x0000_s5153"/>
                  </a:ext>
                  <a:ext uri="{FF2B5EF4-FFF2-40B4-BE49-F238E27FC236}">
                    <a16:creationId xmlns:a16="http://schemas.microsoft.com/office/drawing/2014/main" id="{00000000-0008-0000-0500-000008000000}"/>
                  </a:ext>
                </a:extLst>
              </xdr:cNvPr>
              <xdr:cNvSpPr/>
            </xdr:nvSpPr>
            <xdr:spPr bwMode="auto">
              <a:xfrm>
                <a:off x="5581330" y="39175"/>
                <a:ext cx="1322133" cy="295524"/>
              </a:xfrm>
              <a:prstGeom prst="rect">
                <a:avLst/>
              </a:prstGeom>
              <a:solidFill>
                <a:srgbClr val="F7F7EF"/>
              </a:solidFill>
              <a:ln w="9525">
                <a:solidFill>
                  <a:srgbClr val="0F243E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Retorno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</xdr:col>
      <xdr:colOff>105592</xdr:colOff>
      <xdr:row>8</xdr:row>
      <xdr:rowOff>126431</xdr:rowOff>
    </xdr:from>
    <xdr:to>
      <xdr:col>9</xdr:col>
      <xdr:colOff>10886</xdr:colOff>
      <xdr:row>9</xdr:row>
      <xdr:rowOff>186613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A2A1CEDA-B48D-497F-874F-7EA33E207B2C}"/>
            </a:ext>
          </a:extLst>
        </xdr:cNvPr>
        <xdr:cNvSpPr txBox="1"/>
      </xdr:nvSpPr>
      <xdr:spPr>
        <a:xfrm>
          <a:off x="113212" y="1269431"/>
          <a:ext cx="1078774" cy="2125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00" b="1" kern="1200"/>
            <a:t>Endereço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B8BD53B-3CB7-41A0-A7C0-CDE0088AA750}" name="tb_atendimento" displayName="tb_atendimento" ref="B3:AD4" insertRow="1" totalsRowShown="0" headerRowDxfId="68" dataDxfId="66" headerRowBorderDxfId="67" tableBorderDxfId="65" totalsRowBorderDxfId="64">
  <autoFilter ref="B3:AD4" xr:uid="{8B8BD53B-3CB7-41A0-A7C0-CDE0088AA750}"/>
  <tableColumns count="29">
    <tableColumn id="1" xr3:uid="{E0526AC3-8C66-4894-8305-A95A1FA6CF44}" name="Data Atendimento" dataDxfId="63"/>
    <tableColumn id="28" xr3:uid="{C1B2B18E-4A31-4240-BFBE-CDE7EC63FFB3}" name="Celula que tratou" dataDxfId="62"/>
    <tableColumn id="2" xr3:uid="{8F15581D-7198-4EEA-B4C6-4D97C89739C0}" name="Asssistente" dataDxfId="61"/>
    <tableColumn id="3" xr3:uid="{65CA6FB8-1F3D-4982-ACB0-31C3645040C9}" name="Id Parceiro" dataDxfId="60"/>
    <tableColumn id="4" xr3:uid="{B0267560-CD56-40D1-97F5-DC6269933D47}" name="Razão Social" dataDxfId="59"/>
    <tableColumn id="5" xr3:uid="{AF783184-B08A-4CA1-BCD6-1B190E03BAF4}" name="Nome Fantasia" dataDxfId="58"/>
    <tableColumn id="29" xr3:uid="{13D5D1BC-8FA1-4AFB-B75A-F6E0FF68B320}" name="UF PARCEIRO" dataDxfId="57"/>
    <tableColumn id="6" xr3:uid="{458258DE-8FA3-47EA-9D0C-2A27506DF961}" name="Endereço Sistemico" dataDxfId="56"/>
    <tableColumn id="7" xr3:uid="{29AFF013-1198-456F-B677-B8865F9D1881}" name="Endereço Atualizado?" dataDxfId="55"/>
    <tableColumn id="8" xr3:uid="{7FBA739C-D206-4244-B664-2EB857FC7F07}" name="Telefone 1" dataDxfId="54"/>
    <tableColumn id="9" xr3:uid="{F28B4255-B0FD-4C79-9D80-D04E5597EEC6}" name="Telefone 2" dataDxfId="53"/>
    <tableColumn id="10" xr3:uid="{617789D5-4D0A-4DCB-B973-264E84EA2580}" name="Validador de Telefone" dataDxfId="52"/>
    <tableColumn id="11" xr3:uid="{BAD4CA18-E950-4EE9-86CB-7CC9C5DD1872}" name="Contato Atualizado?" dataDxfId="51"/>
    <tableColumn id="13" xr3:uid="{B8919A22-7376-46EA-9649-E593E5936206}" name="Observação Contato" dataDxfId="50"/>
    <tableColumn id="14" xr3:uid="{2EF00246-FABC-4497-8C85-C6736F649AD6}" name="Estoque Sistemico" dataDxfId="49"/>
    <tableColumn id="15" xr3:uid="{75D81287-48FE-4893-B2B2-1CF5642CB727}" name="Confirmação do Estoque" dataDxfId="48"/>
    <tableColumn id="16" xr3:uid="{3AA367E0-4513-4791-B95E-1154C534D5ED}" name="Status Atendimento" dataDxfId="47"/>
    <tableColumn id="17" xr3:uid="{CFBF64BC-1FC2-41AE-9359-3BD68A21460B}" name="Envio de DECL Transporte" dataDxfId="46"/>
    <tableColumn id="18" xr3:uid="{1C0EC381-9A5F-4345-A607-A41FD110B8B6}" name="Protocolo de Atendimento" dataDxfId="45"/>
    <tableColumn id="19" xr3:uid="{D9855D4C-428D-453B-B023-A9020D0AE603}" name="Demanda" dataDxfId="44"/>
    <tableColumn id="20" xr3:uid="{792C6045-D5CE-4A53-9B4F-8D4A0028F0EB}" name="Observação Atendimento" dataDxfId="43"/>
    <tableColumn id="21" xr3:uid="{EACBD7E4-5758-4458-BDA5-A5FBE0757231}" name="Atendimento" dataDxfId="42"/>
    <tableColumn id="23" xr3:uid="{17483E16-43CB-49FF-88BD-90E4800C7445}" name="Cód Atendimento" dataDxfId="41"/>
    <tableColumn id="12" xr3:uid="{D1705602-C2EF-4C63-B72E-AF38A69C6570}" name="Valor Acordado?" dataDxfId="40"/>
    <tableColumn id="22" xr3:uid="{582F6A84-FB04-4FAC-A518-5FBF7554A375}" name="Quanto Acordado?" dataDxfId="39"/>
    <tableColumn id="24" xr3:uid="{42ED0445-A834-4019-AB16-A6DD46E006D1}" name="CODIGO" dataDxfId="38">
      <calculatedColumnFormula>_xlfn.NUMBERVALUE(RIGHT(LEFT(X4,6),4))</calculatedColumnFormula>
    </tableColumn>
    <tableColumn id="27" xr3:uid="{A071AF9E-7727-4E48-B3C3-9BD913F13CF9}" name="cod_chave_aten_uni" dataDxfId="37">
      <calculatedColumnFormula>E4&amp;"-"&amp;W4</calculatedColumnFormula>
    </tableColumn>
    <tableColumn id="25" xr3:uid="{90FE3C43-DD17-4970-944D-0D0D4FFB2E3F}" name="Data entrada cadastro" dataDxfId="36"/>
    <tableColumn id="26" xr3:uid="{7B862B15-A8EC-4DFE-AD7F-1E7D67F198EB}" name="Código cadastro controle" dataDxfId="35">
      <calculatedColumnFormula>DAY(tb_atendimento[[#This Row],[Data entrada cadastro]])&amp;MONTH(tb_atendimento[[#This Row],[Data entrada cadastro]])&amp;YEAR(tb_atendimento[[#This Row],[Data entrada cadastro]])&amp;"-"&amp;tb_atendimento[[#This Row],[Id Parceiro]]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37B3702-9584-4D40-AFAA-61CF10299602}" name="tb_atendimento8" displayName="tb_atendimento8" ref="B3:AE4" insertRow="1" totalsRowShown="0" headerRowDxfId="34" dataDxfId="32" headerRowBorderDxfId="33" tableBorderDxfId="31" totalsRowBorderDxfId="30">
  <autoFilter ref="B3:AE4" xr:uid="{637B3702-9584-4D40-AFAA-61CF10299602}"/>
  <tableColumns count="30">
    <tableColumn id="1" xr3:uid="{90B6ED38-765A-42E9-ADE3-644C6F964EF2}" name="Data Atendimento" dataDxfId="29"/>
    <tableColumn id="29" xr3:uid="{B371C899-B142-45FD-B5C0-ED3DEECC1351}" name="Celula que tratou" dataDxfId="28"/>
    <tableColumn id="2" xr3:uid="{38E19E28-8441-488F-966D-325A7EBB77D0}" name="Asssistente" dataDxfId="27"/>
    <tableColumn id="3" xr3:uid="{E7BBB1B9-1373-4FBA-B2C9-911FBC974080}" name="Id Parceiro" dataDxfId="26"/>
    <tableColumn id="4" xr3:uid="{C41477D1-D724-46C7-9FFB-B0EE220A216E}" name="Razão Social" dataDxfId="25"/>
    <tableColumn id="5" xr3:uid="{40A80A51-DE51-481C-B813-01D688E086EB}" name="Nome Fantasia" dataDxfId="24"/>
    <tableColumn id="30" xr3:uid="{B5096BFF-96B2-4FB6-B27C-047ABBC78CF4}" name="UF PARCEIRO" dataDxfId="23"/>
    <tableColumn id="6" xr3:uid="{7431BA10-048B-4A21-8F4A-BAC5E7DF8D1D}" name="Endereço Sistemico" dataDxfId="22"/>
    <tableColumn id="7" xr3:uid="{6AB1EB5A-63D8-4FF0-8933-D0BF3680EB9F}" name="Validador Endereço" dataDxfId="21"/>
    <tableColumn id="8" xr3:uid="{CDD259A2-C6AD-4D88-BA26-50610118096D}" name="Telefone 1" dataDxfId="20"/>
    <tableColumn id="9" xr3:uid="{B4E6CA5F-4E0C-4BFE-B33C-A45E3AA6240A}" name="Telefone 2" dataDxfId="19"/>
    <tableColumn id="10" xr3:uid="{BE1614B9-7241-49EA-8397-0CB2D48C3561}" name="Validador de Telefone" dataDxfId="18"/>
    <tableColumn id="11" xr3:uid="{F1D49262-09AE-4D24-B3F8-394013626C7F}" name="Contato Atualizado?" dataDxfId="17"/>
    <tableColumn id="13" xr3:uid="{54440B61-0E77-4832-B6D9-B9F11292123D}" name="Observação Contato" dataDxfId="16"/>
    <tableColumn id="14" xr3:uid="{0C976D92-6D67-438F-8C3F-6A8254E2E8D6}" name="Estoque Sistemico" dataDxfId="15"/>
    <tableColumn id="15" xr3:uid="{0501E5AB-477A-4B81-AFBD-C5C3EA60B2A1}" name="Confirmação do Estoque" dataDxfId="14"/>
    <tableColumn id="16" xr3:uid="{60E7DC59-056E-47EF-8195-C69341D46FCE}" name="Status Atendimento" dataDxfId="13"/>
    <tableColumn id="17" xr3:uid="{4920710A-44F7-4475-9200-7A6E4E9A100F}" name="Envio de DECL Transporte" dataDxfId="12"/>
    <tableColumn id="18" xr3:uid="{919E0BA9-C060-4A50-8FFE-0137AB959BD1}" name="Protocolo de Atendimento" dataDxfId="11"/>
    <tableColumn id="19" xr3:uid="{54C432D7-15A1-4B46-AED0-BB70986228CD}" name="Demanda" dataDxfId="10"/>
    <tableColumn id="20" xr3:uid="{2F0EFF1B-D3E2-4BF6-8AAF-C72012E66C01}" name="Observação Atendimento" dataDxfId="9"/>
    <tableColumn id="21" xr3:uid="{0BFE255A-4C65-4020-9F06-E0D15B59DC1A}" name="Atendimento" dataDxfId="8"/>
    <tableColumn id="23" xr3:uid="{208AA561-635E-4691-A741-06AD585C448D}" name="Cód Atendimento" dataDxfId="7"/>
    <tableColumn id="12" xr3:uid="{73D594FD-C03B-4B2F-8F8F-D30C9850AE6F}" name="Valor Acordado?" dataDxfId="6"/>
    <tableColumn id="22" xr3:uid="{F6C8F4ED-DB3C-4976-AAEE-F8DAD4BACE97}" name="Quanto Acordado?" dataDxfId="5"/>
    <tableColumn id="24" xr3:uid="{D7676E5E-2DB3-4059-8ED1-1740FCC1D7F2}" name="CODIGO" dataDxfId="4">
      <calculatedColumnFormula>_xlfn.NUMBERVALUE(RIGHT(LEFT(X4,6),4))</calculatedColumnFormula>
    </tableColumn>
    <tableColumn id="25" xr3:uid="{0FA628D3-123C-4504-8F93-99E45DD3E81D}" name="cod_chave_aten_uni" dataDxfId="3"/>
    <tableColumn id="26" xr3:uid="{9B5D79C2-9F78-407C-95DA-E5D1E89C073A}" name="Data entrada cadastro" dataDxfId="2"/>
    <tableColumn id="27" xr3:uid="{B403F5DF-99E9-4DC5-AAFD-C3250A92D141}" name="Código cadastro controle" dataDxfId="1"/>
    <tableColumn id="28" xr3:uid="{135A8512-4B4D-4781-A6BB-373161E61582}" name="Coluna5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3D8FB-5D4D-44B8-926A-9B2B07DD47E2}">
  <sheetPr codeName="Planilha4"/>
  <dimension ref="B1:N8"/>
  <sheetViews>
    <sheetView workbookViewId="0">
      <selection activeCell="H3" sqref="H3"/>
    </sheetView>
  </sheetViews>
  <sheetFormatPr defaultRowHeight="15" x14ac:dyDescent="0.25"/>
  <cols>
    <col min="1" max="1" width="2.54296875" customWidth="1"/>
    <col min="2" max="2" width="27.1796875" customWidth="1"/>
    <col min="3" max="3" width="1.36328125" customWidth="1"/>
    <col min="4" max="4" width="20.54296875" bestFit="1" customWidth="1"/>
    <col min="5" max="5" width="1.36328125" customWidth="1"/>
    <col min="6" max="6" width="15.81640625" bestFit="1" customWidth="1"/>
    <col min="7" max="7" width="1.36328125" customWidth="1"/>
    <col min="8" max="8" width="32.6328125" customWidth="1"/>
    <col min="9" max="9" width="2" customWidth="1"/>
    <col min="10" max="10" width="18.36328125" customWidth="1"/>
    <col min="11" max="11" width="2" customWidth="1"/>
    <col min="12" max="12" width="18.81640625" bestFit="1" customWidth="1"/>
    <col min="13" max="13" width="2" customWidth="1"/>
    <col min="14" max="14" width="18.1796875" bestFit="1" customWidth="1"/>
  </cols>
  <sheetData>
    <row r="1" spans="2:14" ht="15.6" x14ac:dyDescent="0.25">
      <c r="B1" s="1" t="s">
        <v>0</v>
      </c>
      <c r="D1" s="1" t="s">
        <v>1</v>
      </c>
      <c r="F1" s="1" t="s">
        <v>2</v>
      </c>
      <c r="H1" s="1" t="s">
        <v>3</v>
      </c>
      <c r="J1" s="1" t="s">
        <v>4</v>
      </c>
      <c r="L1" s="1" t="s">
        <v>5</v>
      </c>
      <c r="N1" s="1" t="s">
        <v>6</v>
      </c>
    </row>
    <row r="2" spans="2:14" x14ac:dyDescent="0.25">
      <c r="B2" s="2" t="s">
        <v>7</v>
      </c>
      <c r="D2" s="3" t="s">
        <v>8</v>
      </c>
      <c r="F2" s="4" t="s">
        <v>9</v>
      </c>
      <c r="H2" s="5" t="s">
        <v>10</v>
      </c>
      <c r="J2" s="27" t="s">
        <v>11</v>
      </c>
      <c r="L2" s="26" t="s">
        <v>12</v>
      </c>
      <c r="N2" s="26" t="s">
        <v>12</v>
      </c>
    </row>
    <row r="3" spans="2:14" x14ac:dyDescent="0.25">
      <c r="B3" s="2" t="s">
        <v>13</v>
      </c>
      <c r="D3" s="3" t="s">
        <v>14</v>
      </c>
      <c r="F3" s="4" t="s">
        <v>15</v>
      </c>
      <c r="H3" s="5" t="s">
        <v>16</v>
      </c>
      <c r="J3" s="27" t="s">
        <v>17</v>
      </c>
      <c r="L3" s="26" t="s">
        <v>18</v>
      </c>
      <c r="N3" s="26" t="s">
        <v>19</v>
      </c>
    </row>
    <row r="4" spans="2:14" x14ac:dyDescent="0.25">
      <c r="B4" s="2" t="s">
        <v>20</v>
      </c>
      <c r="D4" s="3" t="s">
        <v>21</v>
      </c>
      <c r="F4" s="4" t="s">
        <v>22</v>
      </c>
      <c r="H4" s="5" t="s">
        <v>23</v>
      </c>
      <c r="J4" s="27" t="s">
        <v>24</v>
      </c>
      <c r="L4" s="26" t="s">
        <v>24</v>
      </c>
      <c r="N4" s="26" t="s">
        <v>25</v>
      </c>
    </row>
    <row r="5" spans="2:14" x14ac:dyDescent="0.25">
      <c r="B5" s="2" t="s">
        <v>26</v>
      </c>
      <c r="D5" s="3"/>
      <c r="F5" s="4"/>
      <c r="H5" s="5" t="s">
        <v>24</v>
      </c>
      <c r="J5" s="27" t="s">
        <v>15</v>
      </c>
      <c r="L5" s="26" t="s">
        <v>15</v>
      </c>
      <c r="N5" s="26" t="s">
        <v>24</v>
      </c>
    </row>
    <row r="6" spans="2:14" x14ac:dyDescent="0.25">
      <c r="B6" s="2"/>
      <c r="D6" s="3"/>
      <c r="F6" s="4"/>
      <c r="H6" s="5" t="s">
        <v>15</v>
      </c>
      <c r="J6" s="27"/>
      <c r="L6" s="26"/>
      <c r="N6" s="26" t="s">
        <v>15</v>
      </c>
    </row>
    <row r="7" spans="2:14" x14ac:dyDescent="0.25">
      <c r="B7" s="2"/>
      <c r="D7" s="3"/>
      <c r="F7" s="4"/>
      <c r="H7" s="5" t="s">
        <v>27</v>
      </c>
      <c r="J7" s="27"/>
      <c r="L7" s="26"/>
      <c r="N7" s="26"/>
    </row>
    <row r="8" spans="2:14" x14ac:dyDescent="0.25">
      <c r="B8" s="2"/>
      <c r="D8" s="3"/>
      <c r="F8" s="4"/>
      <c r="H8" s="5" t="s">
        <v>90</v>
      </c>
      <c r="J8" s="27"/>
      <c r="L8" s="26"/>
      <c r="N8" s="26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DED33-9D98-49C5-8B0F-EF8CC1B360E4}">
  <sheetPr codeName="Planilha5"/>
  <dimension ref="B1:CR37"/>
  <sheetViews>
    <sheetView showGridLines="0" tabSelected="1" topLeftCell="C1" zoomScale="85" zoomScaleNormal="85" workbookViewId="0">
      <selection activeCell="CA28" sqref="CA28"/>
    </sheetView>
  </sheetViews>
  <sheetFormatPr defaultColWidth="1.81640625" defaultRowHeight="12" customHeight="1" x14ac:dyDescent="0.25"/>
  <cols>
    <col min="1" max="1" width="1.81640625" style="7"/>
    <col min="2" max="2" width="0.54296875" style="7" customWidth="1"/>
    <col min="3" max="53" width="1.81640625" style="7"/>
    <col min="54" max="54" width="0.36328125" style="7" customWidth="1"/>
    <col min="55" max="55" width="0.90625" style="7" customWidth="1"/>
    <col min="56" max="56" width="0.81640625" style="7" customWidth="1"/>
    <col min="57" max="62" width="1.81640625" style="7"/>
    <col min="63" max="63" width="4.81640625" style="7" customWidth="1"/>
    <col min="64" max="65" width="1.81640625" style="7"/>
    <col min="66" max="66" width="3.36328125" style="7" customWidth="1"/>
    <col min="67" max="68" width="1.81640625" style="7"/>
    <col min="69" max="69" width="0.6328125" style="7" customWidth="1"/>
    <col min="70" max="70" width="0.36328125" style="7" customWidth="1"/>
    <col min="71" max="78" width="1.81640625" style="7"/>
    <col min="79" max="79" width="6.81640625" style="7" bestFit="1" customWidth="1"/>
    <col min="80" max="80" width="1.6328125" style="7" customWidth="1"/>
    <col min="81" max="81" width="0.81640625" style="7" customWidth="1"/>
    <col min="82" max="82" width="1.1796875" style="7" customWidth="1"/>
    <col min="83" max="83" width="1.453125" style="7" customWidth="1"/>
    <col min="84" max="85" width="1.81640625" style="7"/>
    <col min="86" max="86" width="3" style="7" customWidth="1"/>
    <col min="87" max="90" width="1.81640625" style="7"/>
    <col min="91" max="91" width="2.1796875" style="7" customWidth="1"/>
    <col min="92" max="95" width="1.81640625" style="7"/>
    <col min="96" max="96" width="8.1796875" style="7" customWidth="1"/>
    <col min="97" max="16384" width="1.81640625" style="7"/>
  </cols>
  <sheetData>
    <row r="1" spans="2:96" ht="7.2" customHeight="1" x14ac:dyDescent="0.25">
      <c r="B1" s="10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</row>
    <row r="2" spans="2:96" ht="12" customHeight="1" x14ac:dyDescent="0.25">
      <c r="B2" s="45" t="str" cm="1">
        <f t="array" ref="B2">IFERROR(LARGE(IF(#REF!=H7,#REF!),1),"1/1/1910")</f>
        <v>1/1/1910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116" t="s">
        <v>62</v>
      </c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6"/>
      <c r="AB2" s="116"/>
      <c r="AC2" s="116"/>
      <c r="AD2" s="116"/>
      <c r="AE2" s="44"/>
      <c r="AF2" s="44"/>
      <c r="AG2" s="44"/>
      <c r="AH2" s="43"/>
      <c r="AI2" s="43"/>
      <c r="AJ2" s="43"/>
      <c r="AK2" s="43"/>
      <c r="AL2" s="43"/>
      <c r="AM2" s="43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  <c r="AY2" s="47"/>
      <c r="AZ2" s="47"/>
      <c r="BA2" s="47"/>
      <c r="BB2" s="10"/>
    </row>
    <row r="3" spans="2:96" ht="12" customHeight="1" x14ac:dyDescent="0.25">
      <c r="B3" s="10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6"/>
      <c r="AB3" s="116"/>
      <c r="AC3" s="116"/>
      <c r="AD3" s="116"/>
      <c r="AE3" s="44"/>
      <c r="AF3" s="44"/>
      <c r="AG3" s="44"/>
      <c r="AH3" s="43"/>
      <c r="AI3" s="43"/>
      <c r="AJ3" s="43"/>
      <c r="AK3" s="43"/>
      <c r="AL3" s="43"/>
      <c r="AM3" s="43"/>
      <c r="AN3" s="47"/>
      <c r="AO3" s="47"/>
      <c r="AP3" s="47"/>
      <c r="AQ3" s="47"/>
      <c r="AR3" s="47"/>
      <c r="AS3" s="47"/>
      <c r="AT3" s="47"/>
      <c r="AU3" s="47"/>
      <c r="AV3" s="47"/>
      <c r="AW3" s="47"/>
      <c r="AX3" s="47"/>
      <c r="AY3" s="47"/>
      <c r="AZ3" s="47"/>
      <c r="BA3" s="47"/>
      <c r="BB3" s="10"/>
      <c r="BD3" s="8"/>
      <c r="BE3" s="47" t="s">
        <v>63</v>
      </c>
      <c r="BF3" s="47"/>
      <c r="BG3" s="47"/>
      <c r="BH3" s="47"/>
      <c r="BI3" s="47"/>
      <c r="BJ3" s="47"/>
      <c r="BK3" s="47"/>
      <c r="BL3" s="47"/>
      <c r="BM3" s="47"/>
      <c r="BN3" s="47"/>
      <c r="BO3" s="47"/>
      <c r="BP3" s="47"/>
      <c r="BQ3" s="8"/>
      <c r="BS3" s="49" t="s">
        <v>60</v>
      </c>
      <c r="BT3" s="49"/>
      <c r="BU3" s="49"/>
      <c r="BV3" s="49"/>
      <c r="BW3" s="49"/>
      <c r="BX3" s="49"/>
      <c r="BY3" s="49"/>
      <c r="BZ3" s="49"/>
      <c r="CA3" s="49"/>
      <c r="CB3" s="50" t="str">
        <f>IFERROR(_xlfn.XLOOKUP(($H$7&amp;"-1º Atendimento"),'BASE ATENDIMENTO'!AB:AB,'BASE ATENDIMENTO'!W:W),"Sem atendimento")</f>
        <v>Sem atendimento</v>
      </c>
      <c r="CC3" s="50"/>
      <c r="CD3" s="50"/>
      <c r="CE3" s="50"/>
      <c r="CF3" s="50"/>
      <c r="CG3" s="50"/>
      <c r="CH3" s="50"/>
      <c r="CI3" s="50"/>
      <c r="CJ3" s="48" t="str">
        <f>IFERROR(_xlfn.XLOOKUP(($H$7&amp;"-"&amp;CB3),'BASE ATENDIMENTO'!AB:AB,'BASE ATENDIMENTO'!R:R),"")</f>
        <v/>
      </c>
      <c r="CK3" s="48"/>
      <c r="CL3" s="48"/>
      <c r="CM3" s="48"/>
      <c r="CN3" s="48"/>
      <c r="CO3" s="48"/>
      <c r="CP3" s="48"/>
      <c r="CQ3" s="48"/>
      <c r="CR3" s="48"/>
    </row>
    <row r="4" spans="2:96" ht="12" customHeight="1" x14ac:dyDescent="0.25">
      <c r="B4" s="10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116"/>
      <c r="P4" s="116"/>
      <c r="Q4" s="116"/>
      <c r="R4" s="116"/>
      <c r="S4" s="116"/>
      <c r="T4" s="116"/>
      <c r="U4" s="116"/>
      <c r="V4" s="116"/>
      <c r="W4" s="116"/>
      <c r="X4" s="116"/>
      <c r="Y4" s="116"/>
      <c r="Z4" s="116"/>
      <c r="AA4" s="116"/>
      <c r="AB4" s="116"/>
      <c r="AC4" s="116"/>
      <c r="AD4" s="116"/>
      <c r="AE4" s="44"/>
      <c r="AF4" s="44"/>
      <c r="AG4" s="44"/>
      <c r="AH4" s="43"/>
      <c r="AI4" s="43"/>
      <c r="AJ4" s="43"/>
      <c r="AK4" s="43"/>
      <c r="AL4" s="43"/>
      <c r="AM4" s="43"/>
      <c r="AN4" s="47"/>
      <c r="AO4" s="47"/>
      <c r="AP4" s="47"/>
      <c r="AQ4" s="47"/>
      <c r="AR4" s="47"/>
      <c r="AS4" s="47"/>
      <c r="AT4" s="47"/>
      <c r="AU4" s="47"/>
      <c r="AV4" s="47"/>
      <c r="AW4" s="47"/>
      <c r="AX4" s="47"/>
      <c r="AY4" s="47"/>
      <c r="AZ4" s="47"/>
      <c r="BA4" s="47"/>
      <c r="BB4" s="10"/>
      <c r="BD4" s="8"/>
      <c r="BE4" s="47"/>
      <c r="BF4" s="47"/>
      <c r="BG4" s="47"/>
      <c r="BH4" s="47"/>
      <c r="BI4" s="47"/>
      <c r="BJ4" s="47"/>
      <c r="BK4" s="47"/>
      <c r="BL4" s="47"/>
      <c r="BM4" s="47"/>
      <c r="BN4" s="47"/>
      <c r="BO4" s="47"/>
      <c r="BP4" s="47"/>
      <c r="BQ4" s="8"/>
      <c r="BS4" s="49"/>
      <c r="BT4" s="49"/>
      <c r="BU4" s="49"/>
      <c r="BV4" s="49"/>
      <c r="BW4" s="49"/>
      <c r="BX4" s="49"/>
      <c r="BY4" s="49"/>
      <c r="BZ4" s="49"/>
      <c r="CA4" s="49"/>
      <c r="CB4" s="50"/>
      <c r="CC4" s="50"/>
      <c r="CD4" s="50"/>
      <c r="CE4" s="50"/>
      <c r="CF4" s="50"/>
      <c r="CG4" s="50"/>
      <c r="CH4" s="50"/>
      <c r="CI4" s="50"/>
      <c r="CJ4" s="48"/>
      <c r="CK4" s="48"/>
      <c r="CL4" s="48"/>
      <c r="CM4" s="48"/>
      <c r="CN4" s="48"/>
      <c r="CO4" s="48"/>
      <c r="CP4" s="48"/>
      <c r="CQ4" s="48"/>
      <c r="CR4" s="48"/>
    </row>
    <row r="5" spans="2:96" ht="15.6" customHeight="1" x14ac:dyDescent="0.25">
      <c r="B5" s="10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116"/>
      <c r="P5" s="116"/>
      <c r="Q5" s="116"/>
      <c r="R5" s="116"/>
      <c r="S5" s="116"/>
      <c r="T5" s="116"/>
      <c r="U5" s="116"/>
      <c r="V5" s="116"/>
      <c r="W5" s="116"/>
      <c r="X5" s="116"/>
      <c r="Y5" s="116"/>
      <c r="Z5" s="116"/>
      <c r="AA5" s="116"/>
      <c r="AB5" s="116"/>
      <c r="AC5" s="116"/>
      <c r="AD5" s="116"/>
      <c r="AE5" s="44"/>
      <c r="AF5" s="44"/>
      <c r="AG5" s="44"/>
      <c r="AH5" s="43"/>
      <c r="AI5" s="43"/>
      <c r="AJ5" s="43"/>
      <c r="AK5" s="43"/>
      <c r="AL5" s="43"/>
      <c r="AM5" s="43"/>
      <c r="AN5" s="47"/>
      <c r="AO5" s="47"/>
      <c r="AP5" s="47"/>
      <c r="AQ5" s="47"/>
      <c r="AR5" s="47"/>
      <c r="AS5" s="47"/>
      <c r="AT5" s="47"/>
      <c r="AU5" s="47"/>
      <c r="AV5" s="47"/>
      <c r="AW5" s="47"/>
      <c r="AX5" s="47"/>
      <c r="AY5" s="47"/>
      <c r="AZ5" s="47"/>
      <c r="BA5" s="47"/>
      <c r="BB5" s="10"/>
      <c r="BD5" s="8"/>
      <c r="BE5" s="47"/>
      <c r="BF5" s="47"/>
      <c r="BG5" s="47"/>
      <c r="BH5" s="47"/>
      <c r="BI5" s="47"/>
      <c r="BJ5" s="47"/>
      <c r="BK5" s="47"/>
      <c r="BL5" s="47"/>
      <c r="BM5" s="47"/>
      <c r="BN5" s="47"/>
      <c r="BO5" s="47"/>
      <c r="BP5" s="47"/>
      <c r="BQ5" s="8"/>
      <c r="BS5" s="49" t="s">
        <v>64</v>
      </c>
      <c r="BT5" s="49"/>
      <c r="BU5" s="49"/>
      <c r="BV5" s="49"/>
      <c r="BW5" s="49"/>
      <c r="BX5" s="49"/>
      <c r="BY5" s="49"/>
      <c r="BZ5" s="49"/>
      <c r="CA5" s="49"/>
      <c r="CB5" s="51" t="str">
        <f>IFERROR(_xlfn.XLOOKUP((H7&amp;"-1º Atendimento"),'BASE ATENDIMENTO'!AB:AB,'BASE ATENDIMENTO'!B:B),"")</f>
        <v/>
      </c>
      <c r="CC5" s="51"/>
      <c r="CD5" s="51"/>
      <c r="CE5" s="51"/>
      <c r="CF5" s="51"/>
      <c r="CG5" s="51"/>
      <c r="CH5" s="51"/>
      <c r="CI5" s="51"/>
    </row>
    <row r="6" spans="2:96" ht="7.2" customHeight="1" x14ac:dyDescent="0.25">
      <c r="B6" s="10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0"/>
      <c r="BD6" s="8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8"/>
      <c r="BS6" s="40"/>
      <c r="BT6" s="40"/>
      <c r="BU6" s="40"/>
      <c r="BV6" s="40"/>
      <c r="BW6" s="40"/>
      <c r="BX6" s="40"/>
      <c r="BY6" s="40"/>
      <c r="BZ6" s="40"/>
      <c r="CA6" s="40"/>
    </row>
    <row r="7" spans="2:96" ht="12" customHeight="1" x14ac:dyDescent="0.25">
      <c r="B7" s="6"/>
      <c r="C7" s="123" t="s">
        <v>65</v>
      </c>
      <c r="D7" s="124"/>
      <c r="E7" s="124"/>
      <c r="F7" s="124"/>
      <c r="G7" s="125"/>
      <c r="H7" s="131">
        <v>2757</v>
      </c>
      <c r="I7" s="132"/>
      <c r="J7" s="132"/>
      <c r="K7" s="133"/>
      <c r="L7" s="139" t="e">
        <f>_xlfn.XLOOKUP(H7,#REF!,#REF!,"Inserir Id Correto",0,1)</f>
        <v>#REF!</v>
      </c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1"/>
      <c r="AC7" s="139" t="e">
        <f>_xlfn.XLOOKUP(H7,#REF!,#REF!,"Inserir Id Correto",0,1)</f>
        <v>#REF!</v>
      </c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1"/>
      <c r="BB7" s="6" t="s">
        <v>61</v>
      </c>
      <c r="BD7" s="8"/>
      <c r="BE7" s="149"/>
      <c r="BF7" s="149"/>
      <c r="BG7" s="53" t="s">
        <v>66</v>
      </c>
      <c r="BH7" s="53"/>
      <c r="BI7" s="53"/>
      <c r="BJ7" s="53"/>
      <c r="BK7" s="53"/>
      <c r="BL7" s="53"/>
      <c r="BM7" s="53"/>
      <c r="BN7" s="53"/>
      <c r="BO7" s="53"/>
      <c r="BP7" s="53"/>
      <c r="BQ7" s="8"/>
      <c r="BR7" s="9"/>
      <c r="BS7" s="49" t="s">
        <v>59</v>
      </c>
      <c r="BT7" s="49"/>
      <c r="BU7" s="49"/>
      <c r="BV7" s="49"/>
      <c r="BW7" s="49"/>
      <c r="BX7" s="49"/>
      <c r="BY7" s="49"/>
      <c r="BZ7" s="49"/>
      <c r="CA7" s="49"/>
      <c r="CB7" s="50" t="str">
        <f>IFERROR(_xlfn.XLOOKUP(($H$7&amp;"-2º Atendimento"),'BASE ATENDIMENTO'!AB:AB,'BASE ATENDIMENTO'!W:W),"Sem atendimento")</f>
        <v>Sem atendimento</v>
      </c>
      <c r="CC7" s="50"/>
      <c r="CD7" s="50"/>
      <c r="CE7" s="50"/>
      <c r="CF7" s="50"/>
      <c r="CG7" s="50"/>
      <c r="CH7" s="50"/>
      <c r="CI7" s="50"/>
      <c r="CJ7" s="48" t="str">
        <f>IFERROR(_xlfn.XLOOKUP(($H$7&amp;"-"&amp;CB7),'BASE ATENDIMENTO'!AB:AB,'BASE ATENDIMENTO'!R:R),"")</f>
        <v/>
      </c>
      <c r="CK7" s="48"/>
      <c r="CL7" s="48"/>
      <c r="CM7" s="48"/>
      <c r="CN7" s="48"/>
      <c r="CO7" s="48"/>
      <c r="CP7" s="48"/>
      <c r="CQ7" s="48"/>
      <c r="CR7" s="48"/>
    </row>
    <row r="8" spans="2:96" ht="12" customHeight="1" x14ac:dyDescent="0.25">
      <c r="B8" s="6"/>
      <c r="C8" s="126"/>
      <c r="D8" s="50"/>
      <c r="E8" s="50"/>
      <c r="F8" s="50"/>
      <c r="G8" s="127"/>
      <c r="H8" s="134"/>
      <c r="I8" s="65"/>
      <c r="J8" s="65"/>
      <c r="K8" s="135"/>
      <c r="L8" s="142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143"/>
      <c r="AC8" s="142"/>
      <c r="AD8" s="94"/>
      <c r="AE8" s="94"/>
      <c r="AF8" s="94"/>
      <c r="AG8" s="94"/>
      <c r="AH8" s="94"/>
      <c r="AI8" s="94"/>
      <c r="AJ8" s="94"/>
      <c r="AK8" s="94"/>
      <c r="AL8" s="94"/>
      <c r="AM8" s="94"/>
      <c r="AN8" s="94"/>
      <c r="AO8" s="94"/>
      <c r="AP8" s="94"/>
      <c r="AQ8" s="94"/>
      <c r="AR8" s="94"/>
      <c r="AS8" s="94"/>
      <c r="AT8" s="94"/>
      <c r="AU8" s="94"/>
      <c r="AV8" s="94"/>
      <c r="AW8" s="94"/>
      <c r="AX8" s="94"/>
      <c r="AY8" s="94"/>
      <c r="AZ8" s="94"/>
      <c r="BA8" s="143"/>
      <c r="BB8" s="6"/>
      <c r="BD8" s="8"/>
      <c r="BE8" s="149"/>
      <c r="BF8" s="149"/>
      <c r="BG8" s="53"/>
      <c r="BH8" s="53"/>
      <c r="BI8" s="53"/>
      <c r="BJ8" s="53"/>
      <c r="BK8" s="53"/>
      <c r="BL8" s="53"/>
      <c r="BM8" s="53"/>
      <c r="BN8" s="53"/>
      <c r="BO8" s="53"/>
      <c r="BP8" s="53"/>
      <c r="BQ8" s="8"/>
      <c r="BS8" s="49"/>
      <c r="BT8" s="49"/>
      <c r="BU8" s="49"/>
      <c r="BV8" s="49"/>
      <c r="BW8" s="49"/>
      <c r="BX8" s="49"/>
      <c r="BY8" s="49"/>
      <c r="BZ8" s="49"/>
      <c r="CA8" s="49"/>
      <c r="CB8" s="50"/>
      <c r="CC8" s="50"/>
      <c r="CD8" s="50"/>
      <c r="CE8" s="50"/>
      <c r="CF8" s="50"/>
      <c r="CG8" s="50"/>
      <c r="CH8" s="50"/>
      <c r="CI8" s="50"/>
      <c r="CJ8" s="48"/>
      <c r="CK8" s="48"/>
      <c r="CL8" s="48"/>
      <c r="CM8" s="48"/>
      <c r="CN8" s="48"/>
      <c r="CO8" s="48"/>
      <c r="CP8" s="48"/>
      <c r="CQ8" s="48"/>
      <c r="CR8" s="48"/>
    </row>
    <row r="9" spans="2:96" ht="12" customHeight="1" x14ac:dyDescent="0.25">
      <c r="B9" s="6"/>
      <c r="C9" s="128"/>
      <c r="D9" s="129"/>
      <c r="E9" s="129"/>
      <c r="F9" s="129"/>
      <c r="G9" s="130"/>
      <c r="H9" s="136"/>
      <c r="I9" s="137"/>
      <c r="J9" s="137"/>
      <c r="K9" s="138"/>
      <c r="L9" s="144"/>
      <c r="M9" s="145"/>
      <c r="N9" s="145"/>
      <c r="O9" s="145"/>
      <c r="P9" s="145"/>
      <c r="Q9" s="145"/>
      <c r="R9" s="145"/>
      <c r="S9" s="145"/>
      <c r="T9" s="145"/>
      <c r="U9" s="145"/>
      <c r="V9" s="145"/>
      <c r="W9" s="145"/>
      <c r="X9" s="145"/>
      <c r="Y9" s="145"/>
      <c r="Z9" s="145"/>
      <c r="AA9" s="145"/>
      <c r="AB9" s="146"/>
      <c r="AC9" s="144"/>
      <c r="AD9" s="145"/>
      <c r="AE9" s="145"/>
      <c r="AF9" s="145"/>
      <c r="AG9" s="145"/>
      <c r="AH9" s="145"/>
      <c r="AI9" s="145"/>
      <c r="AJ9" s="145"/>
      <c r="AK9" s="145"/>
      <c r="AL9" s="145"/>
      <c r="AM9" s="145"/>
      <c r="AN9" s="145"/>
      <c r="AO9" s="145"/>
      <c r="AP9" s="145"/>
      <c r="AQ9" s="145"/>
      <c r="AR9" s="145"/>
      <c r="AS9" s="145"/>
      <c r="AT9" s="145"/>
      <c r="AU9" s="145"/>
      <c r="AV9" s="145"/>
      <c r="AW9" s="145"/>
      <c r="AX9" s="145"/>
      <c r="AY9" s="145"/>
      <c r="AZ9" s="145"/>
      <c r="BA9" s="146"/>
      <c r="BB9" s="6"/>
      <c r="BD9" s="8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8"/>
      <c r="BS9" s="49" t="s">
        <v>67</v>
      </c>
      <c r="BT9" s="49"/>
      <c r="BU9" s="49"/>
      <c r="BV9" s="49"/>
      <c r="BW9" s="49"/>
      <c r="BX9" s="49"/>
      <c r="BY9" s="49"/>
      <c r="BZ9" s="49"/>
      <c r="CA9" s="49"/>
      <c r="CB9" s="51" t="str">
        <f>IFERROR(_xlfn.XLOOKUP((H7&amp;"-"&amp;CB7),'BASE ATENDIMENTO'!AB:AB,'BASE ATENDIMENTO'!B:B),"")</f>
        <v/>
      </c>
      <c r="CC9" s="51"/>
      <c r="CD9" s="51"/>
      <c r="CE9" s="51"/>
      <c r="CF9" s="51"/>
      <c r="CG9" s="51"/>
      <c r="CH9" s="51"/>
      <c r="CI9" s="51"/>
    </row>
    <row r="10" spans="2:96" ht="21" customHeight="1" x14ac:dyDescent="0.25">
      <c r="B10" s="6"/>
      <c r="C10" s="117" t="e">
        <f>_xlfn.XLOOKUP(H7,#REF!,#REF!,"Inserir Id Correto",0,1)</f>
        <v>#REF!</v>
      </c>
      <c r="D10" s="118"/>
      <c r="E10" s="118"/>
      <c r="F10" s="118"/>
      <c r="G10" s="118"/>
      <c r="H10" s="118"/>
      <c r="I10" s="118"/>
      <c r="J10" s="118"/>
      <c r="K10" s="118"/>
      <c r="L10" s="118"/>
      <c r="M10" s="118"/>
      <c r="N10" s="118"/>
      <c r="O10" s="118"/>
      <c r="P10" s="118"/>
      <c r="Q10" s="118"/>
      <c r="R10" s="118"/>
      <c r="S10" s="118"/>
      <c r="T10" s="118"/>
      <c r="U10" s="118"/>
      <c r="V10" s="118"/>
      <c r="W10" s="118"/>
      <c r="X10" s="118"/>
      <c r="Y10" s="118"/>
      <c r="Z10" s="118"/>
      <c r="AA10" s="118"/>
      <c r="AB10" s="118"/>
      <c r="AC10" s="118"/>
      <c r="AD10" s="118"/>
      <c r="AE10" s="118"/>
      <c r="AF10" s="118"/>
      <c r="AG10" s="118"/>
      <c r="AH10" s="118"/>
      <c r="AI10" s="118"/>
      <c r="AJ10" s="118"/>
      <c r="AK10" s="118"/>
      <c r="AL10" s="121" t="s">
        <v>41</v>
      </c>
      <c r="AM10" s="122"/>
      <c r="AN10" s="122"/>
      <c r="AO10" s="122"/>
      <c r="AP10" s="122"/>
      <c r="AQ10" s="122"/>
      <c r="AR10" s="122"/>
      <c r="AS10" s="122"/>
      <c r="AT10" s="122"/>
      <c r="AU10" s="122"/>
      <c r="AV10" s="118" t="e">
        <f>_xlfn.XLOOKUP(H7,#REF!,#REF!,"Não consta",0,1)</f>
        <v>#REF!</v>
      </c>
      <c r="AW10" s="118"/>
      <c r="AX10" s="118"/>
      <c r="AY10" s="118"/>
      <c r="AZ10" s="118"/>
      <c r="BA10" s="147"/>
      <c r="BB10" s="6"/>
      <c r="BD10" s="8"/>
      <c r="BE10" s="150"/>
      <c r="BF10" s="150"/>
      <c r="BG10" s="53" t="s">
        <v>68</v>
      </c>
      <c r="BH10" s="53"/>
      <c r="BI10" s="53"/>
      <c r="BJ10" s="53"/>
      <c r="BK10" s="53"/>
      <c r="BL10" s="53"/>
      <c r="BM10" s="53"/>
      <c r="BN10" s="53"/>
      <c r="BO10" s="53"/>
      <c r="BP10" s="53"/>
      <c r="BQ10" s="8"/>
      <c r="BS10" s="41"/>
      <c r="BT10" s="41"/>
      <c r="BU10" s="41"/>
      <c r="BV10" s="41"/>
      <c r="BW10" s="41"/>
      <c r="BX10" s="41"/>
      <c r="BY10" s="41"/>
      <c r="BZ10" s="41"/>
      <c r="CA10" s="42"/>
      <c r="CB10" s="20"/>
      <c r="CC10" s="20"/>
      <c r="CD10" s="20"/>
      <c r="CE10" s="20"/>
      <c r="CF10" s="20"/>
      <c r="CG10" s="20"/>
      <c r="CH10" s="20"/>
      <c r="CM10" s="39"/>
    </row>
    <row r="11" spans="2:96" ht="12" customHeight="1" x14ac:dyDescent="0.25">
      <c r="B11" s="6"/>
      <c r="C11" s="119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120"/>
      <c r="W11" s="120"/>
      <c r="X11" s="120"/>
      <c r="Y11" s="120"/>
      <c r="Z11" s="120"/>
      <c r="AA11" s="120"/>
      <c r="AB11" s="120"/>
      <c r="AC11" s="120"/>
      <c r="AD11" s="120"/>
      <c r="AE11" s="120"/>
      <c r="AF11" s="120"/>
      <c r="AG11" s="120"/>
      <c r="AH11" s="120"/>
      <c r="AI11" s="120"/>
      <c r="AJ11" s="120"/>
      <c r="AK11" s="120"/>
      <c r="AL11" s="91"/>
      <c r="AM11" s="92"/>
      <c r="AN11" s="92"/>
      <c r="AO11" s="92"/>
      <c r="AP11" s="92"/>
      <c r="AQ11" s="92"/>
      <c r="AR11" s="92"/>
      <c r="AS11" s="92"/>
      <c r="AT11" s="92"/>
      <c r="AU11" s="92"/>
      <c r="AV11" s="120"/>
      <c r="AW11" s="120"/>
      <c r="AX11" s="120"/>
      <c r="AY11" s="120"/>
      <c r="AZ11" s="120"/>
      <c r="BA11" s="148"/>
      <c r="BB11" s="6"/>
      <c r="BD11" s="8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8"/>
      <c r="BR11" s="9"/>
      <c r="BS11" s="49" t="s">
        <v>69</v>
      </c>
      <c r="BT11" s="49"/>
      <c r="BU11" s="49"/>
      <c r="BV11" s="49"/>
      <c r="BW11" s="49"/>
      <c r="BX11" s="49"/>
      <c r="BY11" s="49"/>
      <c r="BZ11" s="49"/>
      <c r="CA11" s="49"/>
      <c r="CB11" s="50" t="str">
        <f>IFERROR(_xlfn.XLOOKUP(($H$7&amp;"-3º Atendimento"),'BASE ATENDIMENTO'!AB:AB,'BASE ATENDIMENTO'!W:W),"Sem atendimento")</f>
        <v>Sem atendimento</v>
      </c>
      <c r="CC11" s="50"/>
      <c r="CD11" s="50"/>
      <c r="CE11" s="50"/>
      <c r="CF11" s="50"/>
      <c r="CG11" s="50"/>
      <c r="CH11" s="50"/>
      <c r="CI11" s="50"/>
      <c r="CJ11" s="48" t="str">
        <f>IFERROR(_xlfn.XLOOKUP(($H$7&amp;"-"&amp;CB11),'BASE ATENDIMENTO'!AB:AB,'BASE ATENDIMENTO'!R:R),"")</f>
        <v/>
      </c>
      <c r="CK11" s="48"/>
      <c r="CL11" s="48"/>
      <c r="CM11" s="48"/>
      <c r="CN11" s="48"/>
      <c r="CO11" s="48"/>
      <c r="CP11" s="48"/>
      <c r="CQ11" s="48"/>
      <c r="CR11" s="48"/>
    </row>
    <row r="12" spans="2:96" ht="21" customHeight="1" x14ac:dyDescent="0.25">
      <c r="B12" s="6"/>
      <c r="C12" s="121" t="s">
        <v>70</v>
      </c>
      <c r="D12" s="122"/>
      <c r="E12" s="122"/>
      <c r="F12" s="122"/>
      <c r="G12" s="122"/>
      <c r="H12" s="122"/>
      <c r="I12" s="122"/>
      <c r="J12" s="122"/>
      <c r="K12" s="122"/>
      <c r="L12" s="122"/>
      <c r="M12" s="122"/>
      <c r="N12" s="151"/>
      <c r="O12" s="155" t="s">
        <v>12</v>
      </c>
      <c r="P12" s="155"/>
      <c r="Q12" s="155"/>
      <c r="R12" s="155"/>
      <c r="S12" s="155"/>
      <c r="T12" s="155"/>
      <c r="U12" s="155"/>
      <c r="V12" s="155"/>
      <c r="W12" s="155"/>
      <c r="X12" s="155"/>
      <c r="Y12" s="155"/>
      <c r="Z12" s="155"/>
      <c r="AA12" s="155"/>
      <c r="AB12" s="155"/>
      <c r="AC12" s="155"/>
      <c r="AD12" s="155"/>
      <c r="AE12" s="155"/>
      <c r="AF12" s="156"/>
      <c r="AG12" s="157"/>
      <c r="AH12" s="157"/>
      <c r="AI12" s="157"/>
      <c r="AJ12" s="157"/>
      <c r="AK12" s="157"/>
      <c r="AL12" s="157"/>
      <c r="AM12" s="157"/>
      <c r="AN12" s="157"/>
      <c r="AO12" s="157"/>
      <c r="AP12" s="157"/>
      <c r="AQ12" s="157"/>
      <c r="AR12" s="157"/>
      <c r="AS12" s="157"/>
      <c r="AT12" s="157"/>
      <c r="AU12" s="157"/>
      <c r="AV12" s="157"/>
      <c r="AW12" s="157"/>
      <c r="AX12" s="157"/>
      <c r="AY12" s="157"/>
      <c r="AZ12" s="157"/>
      <c r="BA12" s="158"/>
      <c r="BB12" s="6"/>
      <c r="BD12" s="8"/>
      <c r="BE12" s="52"/>
      <c r="BF12" s="52"/>
      <c r="BG12" s="53" t="s">
        <v>71</v>
      </c>
      <c r="BH12" s="53"/>
      <c r="BI12" s="53"/>
      <c r="BJ12" s="53"/>
      <c r="BK12" s="53"/>
      <c r="BL12" s="53"/>
      <c r="BM12" s="53"/>
      <c r="BN12" s="53"/>
      <c r="BO12" s="53"/>
      <c r="BP12" s="53"/>
      <c r="BQ12" s="8"/>
      <c r="BR12" s="9"/>
      <c r="BS12" s="49"/>
      <c r="BT12" s="49"/>
      <c r="BU12" s="49"/>
      <c r="BV12" s="49"/>
      <c r="BW12" s="49"/>
      <c r="BX12" s="49"/>
      <c r="BY12" s="49"/>
      <c r="BZ12" s="49"/>
      <c r="CA12" s="49"/>
      <c r="CB12" s="50"/>
      <c r="CC12" s="50"/>
      <c r="CD12" s="50"/>
      <c r="CE12" s="50"/>
      <c r="CF12" s="50"/>
      <c r="CG12" s="50"/>
      <c r="CH12" s="50"/>
      <c r="CI12" s="50"/>
      <c r="CJ12" s="48"/>
      <c r="CK12" s="48"/>
      <c r="CL12" s="48"/>
      <c r="CM12" s="48"/>
      <c r="CN12" s="48"/>
      <c r="CO12" s="48"/>
      <c r="CP12" s="48"/>
      <c r="CQ12" s="48"/>
      <c r="CR12" s="48"/>
    </row>
    <row r="13" spans="2:96" ht="12" customHeight="1" x14ac:dyDescent="0.25">
      <c r="B13" s="6"/>
      <c r="C13" s="91"/>
      <c r="D13" s="92"/>
      <c r="E13" s="92"/>
      <c r="F13" s="92"/>
      <c r="G13" s="92"/>
      <c r="H13" s="92"/>
      <c r="I13" s="92"/>
      <c r="J13" s="92"/>
      <c r="K13" s="92"/>
      <c r="L13" s="92"/>
      <c r="M13" s="92"/>
      <c r="N13" s="93"/>
      <c r="O13" s="155"/>
      <c r="P13" s="155"/>
      <c r="Q13" s="155"/>
      <c r="R13" s="155"/>
      <c r="S13" s="155"/>
      <c r="T13" s="155"/>
      <c r="U13" s="155"/>
      <c r="V13" s="155"/>
      <c r="W13" s="155"/>
      <c r="X13" s="155"/>
      <c r="Y13" s="155"/>
      <c r="Z13" s="155"/>
      <c r="AA13" s="155"/>
      <c r="AB13" s="155"/>
      <c r="AC13" s="155"/>
      <c r="AD13" s="155"/>
      <c r="AE13" s="155"/>
      <c r="AF13" s="159"/>
      <c r="AG13" s="160"/>
      <c r="AH13" s="160"/>
      <c r="AI13" s="160"/>
      <c r="AJ13" s="160"/>
      <c r="AK13" s="160"/>
      <c r="AL13" s="160"/>
      <c r="AM13" s="160"/>
      <c r="AN13" s="160"/>
      <c r="AO13" s="160"/>
      <c r="AP13" s="160"/>
      <c r="AQ13" s="160"/>
      <c r="AR13" s="160"/>
      <c r="AS13" s="160"/>
      <c r="AT13" s="160"/>
      <c r="AU13" s="160"/>
      <c r="AV13" s="160"/>
      <c r="AW13" s="160"/>
      <c r="AX13" s="160"/>
      <c r="AY13" s="160"/>
      <c r="AZ13" s="160"/>
      <c r="BA13" s="161"/>
      <c r="BB13" s="6"/>
      <c r="BD13" s="8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8"/>
      <c r="BS13" s="49" t="s">
        <v>72</v>
      </c>
      <c r="BT13" s="49"/>
      <c r="BU13" s="49"/>
      <c r="BV13" s="49"/>
      <c r="BW13" s="49"/>
      <c r="BX13" s="49"/>
      <c r="BY13" s="49"/>
      <c r="BZ13" s="49"/>
      <c r="CA13" s="49"/>
      <c r="CB13" s="51" t="str">
        <f>IFERROR(_xlfn.XLOOKUP(($H$7&amp;"-"&amp;CB11),'BASE ATENDIMENTO'!AB:AB,'BASE ATENDIMENTO'!B:B),"")</f>
        <v/>
      </c>
      <c r="CC13" s="51"/>
      <c r="CD13" s="51"/>
      <c r="CE13" s="51"/>
      <c r="CF13" s="51"/>
      <c r="CG13" s="51"/>
      <c r="CH13" s="51"/>
      <c r="CI13" s="51"/>
    </row>
    <row r="14" spans="2:96" ht="1.95" customHeight="1" x14ac:dyDescent="0.2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D14" s="8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8"/>
    </row>
    <row r="15" spans="2:96" ht="12" customHeight="1" x14ac:dyDescent="0.25">
      <c r="B15" s="6"/>
      <c r="C15" s="88" t="s">
        <v>73</v>
      </c>
      <c r="D15" s="89"/>
      <c r="E15" s="89"/>
      <c r="F15" s="89"/>
      <c r="G15" s="89"/>
      <c r="H15" s="89"/>
      <c r="I15" s="89"/>
      <c r="J15" s="90"/>
      <c r="K15" s="55" t="e">
        <f>_xlfn.XLOOKUP(H7,#REF!,#REF!,"Inserir Id Correto",0,1)</f>
        <v>#REF!</v>
      </c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7"/>
      <c r="X15" s="88" t="s">
        <v>74</v>
      </c>
      <c r="Y15" s="89"/>
      <c r="Z15" s="89"/>
      <c r="AA15" s="89"/>
      <c r="AB15" s="89"/>
      <c r="AC15" s="89"/>
      <c r="AD15" s="89"/>
      <c r="AE15" s="90"/>
      <c r="AF15" s="55" t="e">
        <f>_xlfn.XLOOKUP(H7,#REF!,#REF!,"Inserir Id Correto",0,1)</f>
        <v>#REF!</v>
      </c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7"/>
      <c r="AS15" s="107"/>
      <c r="AT15" s="108"/>
      <c r="AU15" s="108"/>
      <c r="AV15" s="108"/>
      <c r="AW15" s="108"/>
      <c r="AX15" s="108"/>
      <c r="AY15" s="108"/>
      <c r="AZ15" s="108"/>
      <c r="BA15" s="109"/>
      <c r="BB15" s="6"/>
      <c r="BD15" s="8"/>
      <c r="BE15" s="94" t="s">
        <v>75</v>
      </c>
      <c r="BF15" s="94"/>
      <c r="BG15" s="94"/>
      <c r="BH15" s="94"/>
      <c r="BI15" s="94"/>
      <c r="BJ15" s="94"/>
      <c r="BK15" s="94"/>
      <c r="BL15" s="94"/>
      <c r="BM15" s="94"/>
      <c r="BN15" s="94"/>
      <c r="BO15" s="94"/>
      <c r="BP15" s="94"/>
      <c r="BQ15" s="8"/>
    </row>
    <row r="16" spans="2:96" ht="12" customHeight="1" x14ac:dyDescent="0.25">
      <c r="B16" s="6"/>
      <c r="C16" s="104"/>
      <c r="D16" s="105"/>
      <c r="E16" s="105"/>
      <c r="F16" s="105"/>
      <c r="G16" s="105"/>
      <c r="H16" s="105"/>
      <c r="I16" s="105"/>
      <c r="J16" s="106"/>
      <c r="K16" s="101"/>
      <c r="L16" s="102"/>
      <c r="M16" s="102"/>
      <c r="N16" s="102"/>
      <c r="O16" s="102"/>
      <c r="P16" s="102"/>
      <c r="Q16" s="102"/>
      <c r="R16" s="102"/>
      <c r="S16" s="102"/>
      <c r="T16" s="102"/>
      <c r="U16" s="102"/>
      <c r="V16" s="102"/>
      <c r="W16" s="103"/>
      <c r="X16" s="104"/>
      <c r="Y16" s="105"/>
      <c r="Z16" s="105"/>
      <c r="AA16" s="105"/>
      <c r="AB16" s="105"/>
      <c r="AC16" s="105"/>
      <c r="AD16" s="105"/>
      <c r="AE16" s="106"/>
      <c r="AF16" s="101"/>
      <c r="AG16" s="102"/>
      <c r="AH16" s="102"/>
      <c r="AI16" s="102"/>
      <c r="AJ16" s="102"/>
      <c r="AK16" s="102"/>
      <c r="AL16" s="102"/>
      <c r="AM16" s="102"/>
      <c r="AN16" s="102"/>
      <c r="AO16" s="102"/>
      <c r="AP16" s="102"/>
      <c r="AQ16" s="102"/>
      <c r="AR16" s="103"/>
      <c r="AS16" s="110"/>
      <c r="AT16" s="111"/>
      <c r="AU16" s="111"/>
      <c r="AV16" s="111"/>
      <c r="AW16" s="111"/>
      <c r="AX16" s="111"/>
      <c r="AY16" s="111"/>
      <c r="AZ16" s="111"/>
      <c r="BA16" s="112"/>
      <c r="BB16" s="6"/>
      <c r="BD16" s="8"/>
      <c r="BE16" s="94"/>
      <c r="BF16" s="94"/>
      <c r="BG16" s="94"/>
      <c r="BH16" s="94"/>
      <c r="BI16" s="94"/>
      <c r="BJ16" s="94"/>
      <c r="BK16" s="94"/>
      <c r="BL16" s="94"/>
      <c r="BM16" s="94"/>
      <c r="BN16" s="94"/>
      <c r="BO16" s="94"/>
      <c r="BP16" s="94"/>
      <c r="BQ16" s="8"/>
      <c r="BS16" s="54" t="s">
        <v>76</v>
      </c>
      <c r="BT16" s="54"/>
      <c r="BU16" s="54"/>
      <c r="BV16" s="54"/>
      <c r="BW16" s="54"/>
      <c r="BX16" s="54"/>
      <c r="BY16" s="54"/>
      <c r="BZ16" s="54"/>
      <c r="CA16" s="54"/>
      <c r="CB16" s="50" t="str">
        <f>IFERROR(_xlfn.XLOOKUP(H7,tb_atendimento[Id Parceiro],tb_atendimento[Status Atendimento],"Sem Atendimento",0,1),"")</f>
        <v>Sem Atendimento</v>
      </c>
      <c r="CC16" s="50"/>
      <c r="CD16" s="50"/>
      <c r="CE16" s="50"/>
      <c r="CF16" s="50"/>
      <c r="CG16" s="50"/>
      <c r="CH16" s="50"/>
      <c r="CI16" s="50"/>
    </row>
    <row r="17" spans="2:87" ht="12" customHeight="1" x14ac:dyDescent="0.25">
      <c r="B17" s="6"/>
      <c r="C17" s="91"/>
      <c r="D17" s="92"/>
      <c r="E17" s="92"/>
      <c r="F17" s="92"/>
      <c r="G17" s="92"/>
      <c r="H17" s="92"/>
      <c r="I17" s="92"/>
      <c r="J17" s="93"/>
      <c r="K17" s="58"/>
      <c r="L17" s="59"/>
      <c r="M17" s="59"/>
      <c r="N17" s="59"/>
      <c r="O17" s="59"/>
      <c r="P17" s="59"/>
      <c r="Q17" s="59"/>
      <c r="R17" s="59"/>
      <c r="S17" s="59"/>
      <c r="T17" s="59"/>
      <c r="U17" s="59"/>
      <c r="V17" s="59"/>
      <c r="W17" s="60"/>
      <c r="X17" s="91"/>
      <c r="Y17" s="92"/>
      <c r="Z17" s="92"/>
      <c r="AA17" s="92"/>
      <c r="AB17" s="92"/>
      <c r="AC17" s="92"/>
      <c r="AD17" s="92"/>
      <c r="AE17" s="93"/>
      <c r="AF17" s="58"/>
      <c r="AG17" s="59"/>
      <c r="AH17" s="59"/>
      <c r="AI17" s="59"/>
      <c r="AJ17" s="59"/>
      <c r="AK17" s="59"/>
      <c r="AL17" s="59"/>
      <c r="AM17" s="59"/>
      <c r="AN17" s="59"/>
      <c r="AO17" s="59"/>
      <c r="AP17" s="59"/>
      <c r="AQ17" s="59"/>
      <c r="AR17" s="60"/>
      <c r="AS17" s="113"/>
      <c r="AT17" s="114"/>
      <c r="AU17" s="114"/>
      <c r="AV17" s="114"/>
      <c r="AW17" s="114"/>
      <c r="AX17" s="114"/>
      <c r="AY17" s="114"/>
      <c r="AZ17" s="114"/>
      <c r="BA17" s="115"/>
      <c r="BB17" s="6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9"/>
      <c r="BS17" s="54"/>
      <c r="BT17" s="54"/>
      <c r="BU17" s="54"/>
      <c r="BV17" s="54"/>
      <c r="BW17" s="54"/>
      <c r="BX17" s="54"/>
      <c r="BY17" s="54"/>
      <c r="BZ17" s="54"/>
      <c r="CA17" s="54"/>
      <c r="CB17" s="50"/>
      <c r="CC17" s="50"/>
      <c r="CD17" s="50"/>
      <c r="CE17" s="50"/>
      <c r="CF17" s="50"/>
      <c r="CG17" s="50"/>
      <c r="CH17" s="50"/>
      <c r="CI17" s="50"/>
    </row>
    <row r="18" spans="2:87" ht="12" customHeight="1" x14ac:dyDescent="0.25">
      <c r="B18" s="6"/>
      <c r="C18" s="162" t="s">
        <v>77</v>
      </c>
      <c r="D18" s="162"/>
      <c r="E18" s="162"/>
      <c r="F18" s="162"/>
      <c r="G18" s="162"/>
      <c r="H18" s="162"/>
      <c r="I18" s="162"/>
      <c r="J18" s="162"/>
      <c r="K18" s="82" t="s">
        <v>19</v>
      </c>
      <c r="L18" s="83"/>
      <c r="M18" s="83"/>
      <c r="N18" s="83"/>
      <c r="O18" s="83"/>
      <c r="P18" s="83"/>
      <c r="Q18" s="83"/>
      <c r="R18" s="83"/>
      <c r="S18" s="83"/>
      <c r="T18" s="83"/>
      <c r="U18" s="83"/>
      <c r="V18" s="83"/>
      <c r="W18" s="83"/>
      <c r="X18" s="84"/>
      <c r="Y18" s="61" t="s">
        <v>38</v>
      </c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2"/>
      <c r="AR18" s="62"/>
      <c r="AS18" s="62"/>
      <c r="AT18" s="62"/>
      <c r="AU18" s="62"/>
      <c r="AV18" s="62"/>
      <c r="AW18" s="62"/>
      <c r="AX18" s="62"/>
      <c r="AY18" s="62"/>
      <c r="AZ18" s="62"/>
      <c r="BA18" s="63"/>
      <c r="BB18" s="6"/>
      <c r="BR18" s="9"/>
      <c r="BS18" s="54"/>
      <c r="BT18" s="54"/>
      <c r="BU18" s="54"/>
      <c r="BV18" s="54"/>
      <c r="BW18" s="54"/>
      <c r="BX18" s="54"/>
      <c r="BY18" s="54"/>
      <c r="BZ18" s="54"/>
      <c r="CA18" s="54"/>
      <c r="CB18" s="50"/>
      <c r="CC18" s="50"/>
      <c r="CD18" s="50"/>
      <c r="CE18" s="50"/>
      <c r="CF18" s="50"/>
      <c r="CG18" s="50"/>
      <c r="CH18" s="50"/>
      <c r="CI18" s="50"/>
    </row>
    <row r="19" spans="2:87" ht="12" customHeight="1" x14ac:dyDescent="0.25">
      <c r="B19" s="6"/>
      <c r="C19" s="162"/>
      <c r="D19" s="162"/>
      <c r="E19" s="162"/>
      <c r="F19" s="162"/>
      <c r="G19" s="162"/>
      <c r="H19" s="162"/>
      <c r="I19" s="162"/>
      <c r="J19" s="162"/>
      <c r="K19" s="152"/>
      <c r="L19" s="153"/>
      <c r="M19" s="153"/>
      <c r="N19" s="153"/>
      <c r="O19" s="153"/>
      <c r="P19" s="153"/>
      <c r="Q19" s="153"/>
      <c r="R19" s="153"/>
      <c r="S19" s="153"/>
      <c r="T19" s="153"/>
      <c r="U19" s="153"/>
      <c r="V19" s="153"/>
      <c r="W19" s="153"/>
      <c r="X19" s="154"/>
      <c r="Y19" s="64"/>
      <c r="Z19" s="65"/>
      <c r="AA19" s="65"/>
      <c r="AB19" s="65"/>
      <c r="AC19" s="65"/>
      <c r="AD19" s="65"/>
      <c r="AE19" s="65"/>
      <c r="AF19" s="65"/>
      <c r="AG19" s="65"/>
      <c r="AH19" s="65"/>
      <c r="AI19" s="65"/>
      <c r="AJ19" s="65"/>
      <c r="AK19" s="65"/>
      <c r="AL19" s="65"/>
      <c r="AM19" s="65"/>
      <c r="AN19" s="65"/>
      <c r="AO19" s="65"/>
      <c r="AP19" s="65"/>
      <c r="AQ19" s="65"/>
      <c r="AR19" s="65"/>
      <c r="AS19" s="65"/>
      <c r="AT19" s="65"/>
      <c r="AU19" s="65"/>
      <c r="AV19" s="65"/>
      <c r="AW19" s="65"/>
      <c r="AX19" s="65"/>
      <c r="AY19" s="65"/>
      <c r="AZ19" s="65"/>
      <c r="BA19" s="66"/>
      <c r="BB19" s="6"/>
      <c r="BR19" s="9"/>
      <c r="BS19" s="9"/>
      <c r="BT19" s="9"/>
      <c r="BU19" s="9"/>
      <c r="BV19" s="9"/>
      <c r="BW19" s="9"/>
      <c r="BX19" s="9"/>
      <c r="BY19" s="9"/>
      <c r="BZ19" s="9"/>
      <c r="CA19" s="20"/>
      <c r="CB19" s="20"/>
      <c r="CC19" s="20"/>
      <c r="CD19" s="20"/>
      <c r="CE19" s="20"/>
      <c r="CF19" s="20"/>
      <c r="CG19" s="20"/>
      <c r="CH19" s="20"/>
    </row>
    <row r="20" spans="2:87" ht="12" customHeight="1" x14ac:dyDescent="0.25">
      <c r="B20" s="6"/>
      <c r="C20" s="162"/>
      <c r="D20" s="162"/>
      <c r="E20" s="162"/>
      <c r="F20" s="162"/>
      <c r="G20" s="162"/>
      <c r="H20" s="162"/>
      <c r="I20" s="162"/>
      <c r="J20" s="162"/>
      <c r="K20" s="85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6"/>
      <c r="X20" s="87"/>
      <c r="Y20" s="67"/>
      <c r="Z20" s="68"/>
      <c r="AA20" s="68"/>
      <c r="AB20" s="68"/>
      <c r="AC20" s="68"/>
      <c r="AD20" s="68"/>
      <c r="AE20" s="68"/>
      <c r="AF20" s="68"/>
      <c r="AG20" s="68"/>
      <c r="AH20" s="68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68"/>
      <c r="BA20" s="69"/>
      <c r="BB20" s="6"/>
      <c r="BR20" s="9"/>
      <c r="BS20" s="9"/>
      <c r="BT20" s="9"/>
      <c r="BU20" s="9"/>
      <c r="BV20" s="9"/>
      <c r="BW20" s="9"/>
      <c r="BX20" s="9"/>
      <c r="BY20" s="9"/>
      <c r="BZ20" s="9"/>
      <c r="CA20" s="20"/>
      <c r="CB20" s="20"/>
      <c r="CC20" s="20"/>
      <c r="CD20" s="20"/>
      <c r="CE20" s="20"/>
      <c r="CF20" s="20"/>
      <c r="CG20" s="20"/>
      <c r="CH20" s="20"/>
    </row>
    <row r="21" spans="2:87" ht="1.95" customHeight="1" x14ac:dyDescent="0.2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R21" s="9"/>
    </row>
    <row r="22" spans="2:87" ht="12" customHeight="1" x14ac:dyDescent="0.25">
      <c r="B22" s="6"/>
      <c r="H22" s="88" t="s">
        <v>78</v>
      </c>
      <c r="I22" s="89"/>
      <c r="J22" s="89"/>
      <c r="K22" s="89"/>
      <c r="L22" s="89"/>
      <c r="M22" s="89"/>
      <c r="N22" s="89"/>
      <c r="O22" s="89"/>
      <c r="P22" s="89"/>
      <c r="Q22" s="89"/>
      <c r="R22" s="90"/>
      <c r="S22" s="55" t="e">
        <f>_xlfn.XLOOKUP(H7,#REF!,#REF!,"Inserir Id Correto",0,1)</f>
        <v>#REF!</v>
      </c>
      <c r="T22" s="56"/>
      <c r="U22" s="56"/>
      <c r="V22" s="56"/>
      <c r="W22" s="56"/>
      <c r="X22" s="56"/>
      <c r="Y22" s="56"/>
      <c r="Z22" s="56"/>
      <c r="AA22" s="57"/>
      <c r="AB22" s="76" t="s">
        <v>79</v>
      </c>
      <c r="AC22" s="77"/>
      <c r="AD22" s="77"/>
      <c r="AE22" s="77"/>
      <c r="AF22" s="77"/>
      <c r="AG22" s="77"/>
      <c r="AH22" s="77"/>
      <c r="AI22" s="77"/>
      <c r="AJ22" s="77"/>
      <c r="AK22" s="77"/>
      <c r="AL22" s="78"/>
      <c r="AM22" s="61">
        <v>40</v>
      </c>
      <c r="AN22" s="62"/>
      <c r="AO22" s="62"/>
      <c r="AP22" s="62"/>
      <c r="AQ22" s="62"/>
      <c r="AR22" s="62"/>
      <c r="AS22" s="62"/>
      <c r="AT22" s="63"/>
      <c r="AU22" s="9"/>
      <c r="AV22" s="9"/>
      <c r="AW22" s="9"/>
      <c r="AX22" s="9"/>
      <c r="AY22" s="9"/>
      <c r="AZ22" s="9"/>
      <c r="BA22" s="9"/>
      <c r="BB22" s="6"/>
      <c r="BR22" s="9"/>
    </row>
    <row r="23" spans="2:87" ht="18" customHeight="1" x14ac:dyDescent="0.25">
      <c r="B23" s="6"/>
      <c r="H23" s="91"/>
      <c r="I23" s="92"/>
      <c r="J23" s="92"/>
      <c r="K23" s="92"/>
      <c r="L23" s="92"/>
      <c r="M23" s="92"/>
      <c r="N23" s="92"/>
      <c r="O23" s="92"/>
      <c r="P23" s="92"/>
      <c r="Q23" s="92"/>
      <c r="R23" s="93"/>
      <c r="S23" s="58"/>
      <c r="T23" s="59"/>
      <c r="U23" s="59"/>
      <c r="V23" s="59"/>
      <c r="W23" s="59"/>
      <c r="X23" s="59"/>
      <c r="Y23" s="59"/>
      <c r="Z23" s="59"/>
      <c r="AA23" s="60"/>
      <c r="AB23" s="79"/>
      <c r="AC23" s="80"/>
      <c r="AD23" s="80"/>
      <c r="AE23" s="80"/>
      <c r="AF23" s="80"/>
      <c r="AG23" s="80"/>
      <c r="AH23" s="80"/>
      <c r="AI23" s="80"/>
      <c r="AJ23" s="80"/>
      <c r="AK23" s="80"/>
      <c r="AL23" s="81"/>
      <c r="AM23" s="67"/>
      <c r="AN23" s="68"/>
      <c r="AO23" s="68"/>
      <c r="AP23" s="68"/>
      <c r="AQ23" s="68"/>
      <c r="AR23" s="68"/>
      <c r="AS23" s="68"/>
      <c r="AT23" s="69"/>
      <c r="AU23" s="9"/>
      <c r="AV23" s="9"/>
      <c r="AW23" s="9"/>
      <c r="AX23" s="9"/>
      <c r="AY23" s="9"/>
      <c r="AZ23" s="9"/>
      <c r="BA23" s="9"/>
      <c r="BB23" s="6"/>
    </row>
    <row r="24" spans="2:87" ht="3" customHeight="1" x14ac:dyDescent="0.25">
      <c r="B24" s="6"/>
      <c r="L24" s="9"/>
      <c r="BB24" s="6"/>
    </row>
    <row r="25" spans="2:87" ht="12" customHeight="1" x14ac:dyDescent="0.25">
      <c r="B25" s="6"/>
      <c r="C25" s="76" t="s">
        <v>80</v>
      </c>
      <c r="D25" s="77"/>
      <c r="E25" s="77"/>
      <c r="F25" s="77"/>
      <c r="G25" s="77"/>
      <c r="H25" s="77"/>
      <c r="I25" s="77"/>
      <c r="J25" s="77"/>
      <c r="K25" s="77"/>
      <c r="L25" s="77"/>
      <c r="M25" s="78"/>
      <c r="N25" s="82" t="s">
        <v>7</v>
      </c>
      <c r="O25" s="83"/>
      <c r="P25" s="83"/>
      <c r="Q25" s="83"/>
      <c r="R25" s="83"/>
      <c r="S25" s="83"/>
      <c r="T25" s="83"/>
      <c r="U25" s="83"/>
      <c r="V25" s="83"/>
      <c r="W25" s="83"/>
      <c r="X25" s="83"/>
      <c r="Y25" s="83"/>
      <c r="Z25" s="83"/>
      <c r="AA25" s="83"/>
      <c r="AB25" s="83"/>
      <c r="AC25" s="83"/>
      <c r="AD25" s="83"/>
      <c r="AE25" s="84"/>
      <c r="AF25" s="76" t="s">
        <v>81</v>
      </c>
      <c r="AG25" s="77"/>
      <c r="AH25" s="77"/>
      <c r="AI25" s="77"/>
      <c r="AJ25" s="77"/>
      <c r="AK25" s="77"/>
      <c r="AL25" s="77"/>
      <c r="AM25" s="78"/>
      <c r="AN25" s="82" t="s">
        <v>17</v>
      </c>
      <c r="AO25" s="83"/>
      <c r="AP25" s="83"/>
      <c r="AQ25" s="83"/>
      <c r="AR25" s="83"/>
      <c r="AS25" s="83"/>
      <c r="AT25" s="83"/>
      <c r="AU25" s="83"/>
      <c r="AV25" s="83"/>
      <c r="AW25" s="83"/>
      <c r="AX25" s="83"/>
      <c r="AY25" s="83"/>
      <c r="AZ25" s="83"/>
      <c r="BA25" s="84"/>
      <c r="BB25" s="6"/>
    </row>
    <row r="26" spans="2:87" ht="21" customHeight="1" x14ac:dyDescent="0.25">
      <c r="B26" s="6"/>
      <c r="C26" s="79"/>
      <c r="D26" s="80"/>
      <c r="E26" s="80"/>
      <c r="F26" s="80"/>
      <c r="G26" s="80"/>
      <c r="H26" s="80"/>
      <c r="I26" s="80"/>
      <c r="J26" s="80"/>
      <c r="K26" s="80"/>
      <c r="L26" s="80"/>
      <c r="M26" s="81"/>
      <c r="N26" s="85"/>
      <c r="O26" s="86"/>
      <c r="P26" s="86"/>
      <c r="Q26" s="86"/>
      <c r="R26" s="86"/>
      <c r="S26" s="86"/>
      <c r="T26" s="86"/>
      <c r="U26" s="86"/>
      <c r="V26" s="86"/>
      <c r="W26" s="86"/>
      <c r="X26" s="86"/>
      <c r="Y26" s="86"/>
      <c r="Z26" s="86"/>
      <c r="AA26" s="86"/>
      <c r="AB26" s="86"/>
      <c r="AC26" s="86"/>
      <c r="AD26" s="86"/>
      <c r="AE26" s="87"/>
      <c r="AF26" s="79"/>
      <c r="AG26" s="80"/>
      <c r="AH26" s="80"/>
      <c r="AI26" s="80"/>
      <c r="AJ26" s="80"/>
      <c r="AK26" s="80"/>
      <c r="AL26" s="80"/>
      <c r="AM26" s="81"/>
      <c r="AN26" s="85"/>
      <c r="AO26" s="86"/>
      <c r="AP26" s="86"/>
      <c r="AQ26" s="86"/>
      <c r="AR26" s="86"/>
      <c r="AS26" s="86"/>
      <c r="AT26" s="86"/>
      <c r="AU26" s="86"/>
      <c r="AV26" s="86"/>
      <c r="AW26" s="86"/>
      <c r="AX26" s="86"/>
      <c r="AY26" s="86"/>
      <c r="AZ26" s="86"/>
      <c r="BA26" s="87"/>
      <c r="BB26" s="6"/>
    </row>
    <row r="27" spans="2:87" ht="12" customHeight="1" x14ac:dyDescent="0.25">
      <c r="B27" s="6"/>
      <c r="C27" s="76" t="s">
        <v>82</v>
      </c>
      <c r="D27" s="77"/>
      <c r="E27" s="77"/>
      <c r="F27" s="77"/>
      <c r="G27" s="77"/>
      <c r="H27" s="77"/>
      <c r="I27" s="77"/>
      <c r="J27" s="77"/>
      <c r="K27" s="77"/>
      <c r="L27" s="77"/>
      <c r="M27" s="78"/>
      <c r="N27" s="70" t="s">
        <v>86</v>
      </c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  <c r="AA27" s="71"/>
      <c r="AB27" s="71"/>
      <c r="AC27" s="71"/>
      <c r="AD27" s="71"/>
      <c r="AE27" s="71"/>
      <c r="AF27" s="71"/>
      <c r="AG27" s="71"/>
      <c r="AH27" s="71"/>
      <c r="AI27" s="71"/>
      <c r="AJ27" s="71"/>
      <c r="AK27" s="71"/>
      <c r="AL27" s="71"/>
      <c r="AM27" s="71"/>
      <c r="AN27" s="71"/>
      <c r="AO27" s="71"/>
      <c r="AP27" s="71"/>
      <c r="AQ27" s="71"/>
      <c r="AR27" s="71"/>
      <c r="AS27" s="71"/>
      <c r="AT27" s="71"/>
      <c r="AU27" s="71"/>
      <c r="AV27" s="71"/>
      <c r="AW27" s="71"/>
      <c r="AX27" s="71"/>
      <c r="AY27" s="71"/>
      <c r="AZ27" s="71"/>
      <c r="BA27" s="72"/>
      <c r="BB27" s="6"/>
    </row>
    <row r="28" spans="2:87" ht="18.600000000000001" customHeight="1" x14ac:dyDescent="0.25">
      <c r="B28" s="6"/>
      <c r="C28" s="79"/>
      <c r="D28" s="80"/>
      <c r="E28" s="80"/>
      <c r="F28" s="80"/>
      <c r="G28" s="80"/>
      <c r="H28" s="80"/>
      <c r="I28" s="80"/>
      <c r="J28" s="80"/>
      <c r="K28" s="80"/>
      <c r="L28" s="80"/>
      <c r="M28" s="81"/>
      <c r="N28" s="73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  <c r="AH28" s="74"/>
      <c r="AI28" s="74"/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  <c r="AW28" s="74"/>
      <c r="AX28" s="74"/>
      <c r="AY28" s="74"/>
      <c r="AZ28" s="74"/>
      <c r="BA28" s="75"/>
      <c r="BB28" s="6"/>
    </row>
    <row r="29" spans="2:87" ht="15.6" customHeight="1" x14ac:dyDescent="0.25">
      <c r="B29" s="6"/>
      <c r="C29" s="76" t="s">
        <v>3</v>
      </c>
      <c r="D29" s="77"/>
      <c r="E29" s="77"/>
      <c r="F29" s="77"/>
      <c r="G29" s="77"/>
      <c r="H29" s="77"/>
      <c r="I29" s="77"/>
      <c r="J29" s="77"/>
      <c r="K29" s="77"/>
      <c r="L29" s="77"/>
      <c r="M29" s="78"/>
      <c r="N29" s="82" t="s">
        <v>24</v>
      </c>
      <c r="O29" s="83"/>
      <c r="P29" s="83"/>
      <c r="Q29" s="83"/>
      <c r="R29" s="83"/>
      <c r="S29" s="83"/>
      <c r="T29" s="83"/>
      <c r="U29" s="83"/>
      <c r="V29" s="83"/>
      <c r="W29" s="83"/>
      <c r="X29" s="83"/>
      <c r="Y29" s="83"/>
      <c r="Z29" s="83"/>
      <c r="AA29" s="83"/>
      <c r="AB29" s="83"/>
      <c r="AC29" s="83"/>
      <c r="AD29" s="83"/>
      <c r="AE29" s="84"/>
      <c r="AF29" s="76" t="s">
        <v>83</v>
      </c>
      <c r="AG29" s="77"/>
      <c r="AH29" s="77"/>
      <c r="AI29" s="77"/>
      <c r="AJ29" s="77"/>
      <c r="AK29" s="77"/>
      <c r="AL29" s="83" t="s">
        <v>17</v>
      </c>
      <c r="AM29" s="83"/>
      <c r="AN29" s="83"/>
      <c r="AO29" s="83"/>
      <c r="AP29" s="83"/>
      <c r="AQ29" s="83"/>
      <c r="AR29" s="83"/>
      <c r="AS29" s="83"/>
      <c r="AT29" s="95">
        <v>0</v>
      </c>
      <c r="AU29" s="95"/>
      <c r="AV29" s="95"/>
      <c r="AW29" s="95"/>
      <c r="AX29" s="95"/>
      <c r="AY29" s="95"/>
      <c r="AZ29" s="95"/>
      <c r="BA29" s="96"/>
      <c r="BB29" s="6"/>
    </row>
    <row r="30" spans="2:87" ht="17.399999999999999" customHeight="1" x14ac:dyDescent="0.25">
      <c r="B30" s="6"/>
      <c r="C30" s="79"/>
      <c r="D30" s="80"/>
      <c r="E30" s="80"/>
      <c r="F30" s="80"/>
      <c r="G30" s="80"/>
      <c r="H30" s="80"/>
      <c r="I30" s="80"/>
      <c r="J30" s="80"/>
      <c r="K30" s="80"/>
      <c r="L30" s="80"/>
      <c r="M30" s="81"/>
      <c r="N30" s="85"/>
      <c r="O30" s="86"/>
      <c r="P30" s="86"/>
      <c r="Q30" s="86"/>
      <c r="R30" s="86"/>
      <c r="S30" s="86"/>
      <c r="T30" s="86"/>
      <c r="U30" s="86"/>
      <c r="V30" s="86"/>
      <c r="W30" s="86"/>
      <c r="X30" s="86"/>
      <c r="Y30" s="86"/>
      <c r="Z30" s="86"/>
      <c r="AA30" s="86"/>
      <c r="AB30" s="86"/>
      <c r="AC30" s="86"/>
      <c r="AD30" s="86"/>
      <c r="AE30" s="87"/>
      <c r="AF30" s="79"/>
      <c r="AG30" s="80"/>
      <c r="AH30" s="80"/>
      <c r="AI30" s="80"/>
      <c r="AJ30" s="80"/>
      <c r="AK30" s="80"/>
      <c r="AL30" s="86"/>
      <c r="AM30" s="86"/>
      <c r="AN30" s="86"/>
      <c r="AO30" s="86"/>
      <c r="AP30" s="86"/>
      <c r="AQ30" s="86"/>
      <c r="AR30" s="86"/>
      <c r="AS30" s="86"/>
      <c r="AT30" s="97"/>
      <c r="AU30" s="97"/>
      <c r="AV30" s="97"/>
      <c r="AW30" s="97"/>
      <c r="AX30" s="97"/>
      <c r="AY30" s="97"/>
      <c r="AZ30" s="97"/>
      <c r="BA30" s="98"/>
      <c r="BB30" s="6"/>
    </row>
    <row r="31" spans="2:87" ht="12" customHeight="1" x14ac:dyDescent="0.25">
      <c r="B31" s="6"/>
      <c r="C31" s="61" t="s">
        <v>37</v>
      </c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3"/>
      <c r="BB31" s="6"/>
    </row>
    <row r="32" spans="2:87" ht="12" customHeight="1" x14ac:dyDescent="0.25">
      <c r="B32" s="6"/>
      <c r="C32" s="64"/>
      <c r="D32" s="65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65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5"/>
      <c r="AV32" s="65"/>
      <c r="AW32" s="65"/>
      <c r="AX32" s="65"/>
      <c r="AY32" s="65"/>
      <c r="AZ32" s="65"/>
      <c r="BA32" s="66"/>
      <c r="BB32" s="6"/>
      <c r="BF32" s="100" t="e">
        <f>LARGE('BASE ATENDIMENTO'!AA:AA,1)+1</f>
        <v>#NUM!</v>
      </c>
      <c r="BG32" s="100"/>
      <c r="BH32" s="100"/>
      <c r="BI32" s="100"/>
      <c r="BJ32" s="100"/>
      <c r="BK32" s="100"/>
      <c r="BL32" s="99" t="e">
        <f>"AT"&amp;"0"&amp;BF32&amp;"A"</f>
        <v>#NUM!</v>
      </c>
      <c r="BM32" s="99"/>
      <c r="BN32" s="99"/>
      <c r="BO32" s="99"/>
      <c r="BP32" s="99"/>
      <c r="BR32" s="54" t="s">
        <v>84</v>
      </c>
      <c r="BS32" s="54"/>
      <c r="BT32" s="54"/>
      <c r="BU32" s="54"/>
      <c r="BV32" s="54"/>
      <c r="BW32" s="54"/>
      <c r="BX32" s="54"/>
      <c r="BY32" s="54"/>
      <c r="BZ32" s="54"/>
      <c r="CA32" s="50" t="str">
        <f>_xlfn.XLOOKUP(H7,'BASE ATENDIMENTO'!E:E,'BASE ATENDIMENTO'!W:W," ",0,1)</f>
        <v xml:space="preserve"> </v>
      </c>
      <c r="CB32" s="50"/>
      <c r="CC32" s="50"/>
      <c r="CD32" s="50"/>
      <c r="CE32" s="50"/>
      <c r="CF32" s="50"/>
      <c r="CG32" s="50"/>
      <c r="CH32" s="50"/>
    </row>
    <row r="33" spans="2:86" ht="12" customHeight="1" x14ac:dyDescent="0.25">
      <c r="B33" s="6"/>
      <c r="C33" s="64"/>
      <c r="D33" s="65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65"/>
      <c r="AK33" s="65"/>
      <c r="AL33" s="65"/>
      <c r="AM33" s="65"/>
      <c r="AN33" s="65"/>
      <c r="AO33" s="65"/>
      <c r="AP33" s="65"/>
      <c r="AQ33" s="65"/>
      <c r="AR33" s="65"/>
      <c r="AS33" s="65"/>
      <c r="AT33" s="65"/>
      <c r="AU33" s="65"/>
      <c r="AV33" s="65"/>
      <c r="AW33" s="65"/>
      <c r="AX33" s="65"/>
      <c r="AY33" s="65"/>
      <c r="AZ33" s="65"/>
      <c r="BA33" s="66"/>
      <c r="BB33" s="6"/>
      <c r="BF33" s="100"/>
      <c r="BG33" s="100"/>
      <c r="BH33" s="100"/>
      <c r="BI33" s="100"/>
      <c r="BJ33" s="100"/>
      <c r="BK33" s="100"/>
      <c r="BL33" s="99"/>
      <c r="BM33" s="99"/>
      <c r="BN33" s="99"/>
      <c r="BO33" s="99"/>
      <c r="BP33" s="99"/>
      <c r="BR33" s="54"/>
      <c r="BS33" s="54"/>
      <c r="BT33" s="54"/>
      <c r="BU33" s="54"/>
      <c r="BV33" s="54"/>
      <c r="BW33" s="54"/>
      <c r="BX33" s="54"/>
      <c r="BY33" s="54"/>
      <c r="BZ33" s="54"/>
      <c r="CA33" s="50"/>
      <c r="CB33" s="50"/>
      <c r="CC33" s="50"/>
      <c r="CD33" s="50"/>
      <c r="CE33" s="50"/>
      <c r="CF33" s="50"/>
      <c r="CG33" s="50"/>
      <c r="CH33" s="50"/>
    </row>
    <row r="34" spans="2:86" ht="12" customHeight="1" x14ac:dyDescent="0.25">
      <c r="B34" s="6"/>
      <c r="C34" s="64"/>
      <c r="D34" s="65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65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5"/>
      <c r="AV34" s="65"/>
      <c r="AW34" s="65"/>
      <c r="AX34" s="65"/>
      <c r="AY34" s="65"/>
      <c r="AZ34" s="65"/>
      <c r="BA34" s="66"/>
      <c r="BB34" s="6"/>
      <c r="BF34" s="100"/>
      <c r="BG34" s="100"/>
      <c r="BH34" s="100"/>
      <c r="BI34" s="100"/>
      <c r="BJ34" s="100"/>
      <c r="BK34" s="100"/>
      <c r="BL34" s="99"/>
      <c r="BM34" s="99"/>
      <c r="BN34" s="99"/>
      <c r="BO34" s="99"/>
      <c r="BP34" s="99"/>
      <c r="BR34" s="54"/>
      <c r="BS34" s="54"/>
      <c r="BT34" s="54"/>
      <c r="BU34" s="54"/>
      <c r="BV34" s="54"/>
      <c r="BW34" s="54"/>
      <c r="BX34" s="54"/>
      <c r="BY34" s="54"/>
      <c r="BZ34" s="54"/>
      <c r="CA34" s="50"/>
      <c r="CB34" s="50"/>
      <c r="CC34" s="50"/>
      <c r="CD34" s="50"/>
      <c r="CE34" s="50"/>
      <c r="CF34" s="50"/>
      <c r="CG34" s="50"/>
      <c r="CH34" s="50"/>
    </row>
    <row r="35" spans="2:86" ht="12" customHeight="1" x14ac:dyDescent="0.25">
      <c r="B35" s="6"/>
      <c r="C35" s="67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  <c r="AA35" s="68"/>
      <c r="AB35" s="68"/>
      <c r="AC35" s="68"/>
      <c r="AD35" s="68"/>
      <c r="AE35" s="68"/>
      <c r="AF35" s="68"/>
      <c r="AG35" s="68"/>
      <c r="AH35" s="68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68"/>
      <c r="BA35" s="69"/>
      <c r="BB35" s="6"/>
      <c r="BR35" s="54"/>
      <c r="BS35" s="54"/>
      <c r="BT35" s="54"/>
      <c r="BU35" s="54"/>
      <c r="BV35" s="54"/>
      <c r="BW35" s="54"/>
      <c r="BX35" s="54"/>
      <c r="BY35" s="54"/>
      <c r="BZ35" s="54"/>
      <c r="CA35" s="50"/>
      <c r="CB35" s="50"/>
      <c r="CC35" s="50"/>
      <c r="CD35" s="50"/>
      <c r="CE35" s="50"/>
      <c r="CF35" s="50"/>
      <c r="CG35" s="50"/>
      <c r="CH35" s="50"/>
    </row>
    <row r="36" spans="2:86" ht="3.6" customHeight="1" x14ac:dyDescent="0.2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2:86" ht="12" customHeight="1" x14ac:dyDescent="0.25">
      <c r="BJ37" s="25"/>
    </row>
  </sheetData>
  <mergeCells count="66">
    <mergeCell ref="K18:X20"/>
    <mergeCell ref="Y18:BA20"/>
    <mergeCell ref="O12:AE13"/>
    <mergeCell ref="AF12:BA13"/>
    <mergeCell ref="C18:J20"/>
    <mergeCell ref="C15:J17"/>
    <mergeCell ref="BG10:BP10"/>
    <mergeCell ref="BE7:BF8"/>
    <mergeCell ref="BE10:BF10"/>
    <mergeCell ref="BG12:BP12"/>
    <mergeCell ref="C12:N13"/>
    <mergeCell ref="O2:AD5"/>
    <mergeCell ref="C10:AK11"/>
    <mergeCell ref="AL10:AU11"/>
    <mergeCell ref="C7:G9"/>
    <mergeCell ref="H7:K9"/>
    <mergeCell ref="L7:AB9"/>
    <mergeCell ref="AN2:BA5"/>
    <mergeCell ref="C1:N5"/>
    <mergeCell ref="AV10:BA11"/>
    <mergeCell ref="AC7:BA9"/>
    <mergeCell ref="BE15:BP16"/>
    <mergeCell ref="AF29:AK30"/>
    <mergeCell ref="AL29:AS30"/>
    <mergeCell ref="AT29:BA30"/>
    <mergeCell ref="BL32:BP34"/>
    <mergeCell ref="BF32:BK34"/>
    <mergeCell ref="AN25:BA26"/>
    <mergeCell ref="AB22:AL23"/>
    <mergeCell ref="N25:AE26"/>
    <mergeCell ref="AM22:AT23"/>
    <mergeCell ref="AF25:AM26"/>
    <mergeCell ref="K15:W17"/>
    <mergeCell ref="X15:AE17"/>
    <mergeCell ref="AS15:BA17"/>
    <mergeCell ref="C27:M28"/>
    <mergeCell ref="AF15:AR17"/>
    <mergeCell ref="S22:AA23"/>
    <mergeCell ref="C31:BA35"/>
    <mergeCell ref="N27:BA28"/>
    <mergeCell ref="C29:M30"/>
    <mergeCell ref="N29:AE30"/>
    <mergeCell ref="H22:R23"/>
    <mergeCell ref="C25:M26"/>
    <mergeCell ref="BS13:CA13"/>
    <mergeCell ref="CB13:CI13"/>
    <mergeCell ref="BS16:CA18"/>
    <mergeCell ref="CB16:CI18"/>
    <mergeCell ref="BR32:BZ35"/>
    <mergeCell ref="CA32:CH35"/>
    <mergeCell ref="BE3:BP5"/>
    <mergeCell ref="CJ3:CR4"/>
    <mergeCell ref="CJ7:CR8"/>
    <mergeCell ref="CJ11:CR12"/>
    <mergeCell ref="BS3:CA4"/>
    <mergeCell ref="CB3:CI4"/>
    <mergeCell ref="CB5:CI5"/>
    <mergeCell ref="BS5:CA5"/>
    <mergeCell ref="BS7:CA8"/>
    <mergeCell ref="CB7:CI8"/>
    <mergeCell ref="CB9:CI9"/>
    <mergeCell ref="BS9:CA9"/>
    <mergeCell ref="BS11:CA12"/>
    <mergeCell ref="CB11:CI12"/>
    <mergeCell ref="BE12:BF12"/>
    <mergeCell ref="BG7:BP8"/>
  </mergeCells>
  <dataValidations count="1">
    <dataValidation type="list" allowBlank="1" showInputMessage="1" showErrorMessage="1" sqref="AL29:AS30" xr:uid="{D39F559E-65FA-4175-8483-3F728F214297}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Check Box 1">
              <controlPr defaultSize="0" autoFill="0" autoLine="0" autoPict="0" altText="1º Atend">
                <anchor moveWithCells="1">
                  <from>
                    <xdr:col>32</xdr:col>
                    <xdr:colOff>83820</xdr:colOff>
                    <xdr:row>0</xdr:row>
                    <xdr:rowOff>53340</xdr:rowOff>
                  </from>
                  <to>
                    <xdr:col>39</xdr:col>
                    <xdr:colOff>68580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Check Box 2">
              <controlPr defaultSize="0" autoFill="0" autoLine="0" autoPict="0">
                <anchor moveWithCells="1">
                  <from>
                    <xdr:col>32</xdr:col>
                    <xdr:colOff>76200</xdr:colOff>
                    <xdr:row>2</xdr:row>
                    <xdr:rowOff>99060</xdr:rowOff>
                  </from>
                  <to>
                    <xdr:col>39</xdr:col>
                    <xdr:colOff>53340</xdr:colOff>
                    <xdr:row>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Check Box 3">
              <controlPr defaultSize="0" autoFill="0" autoLine="0" autoPict="0">
                <anchor moveWithCells="1">
                  <from>
                    <xdr:col>39</xdr:col>
                    <xdr:colOff>129540</xdr:colOff>
                    <xdr:row>2</xdr:row>
                    <xdr:rowOff>106680</xdr:rowOff>
                  </from>
                  <to>
                    <xdr:col>46</xdr:col>
                    <xdr:colOff>38100</xdr:colOff>
                    <xdr:row>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7" name="Check Box 26">
              <controlPr defaultSize="0" autoFill="0" autoLine="0" autoPict="0">
                <anchor moveWithCells="1">
                  <from>
                    <xdr:col>47</xdr:col>
                    <xdr:colOff>0</xdr:colOff>
                    <xdr:row>2</xdr:row>
                    <xdr:rowOff>137160</xdr:rowOff>
                  </from>
                  <to>
                    <xdr:col>52</xdr:col>
                    <xdr:colOff>106680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" r:id="rId8" name="Check Box 33">
              <controlPr defaultSize="0" autoFill="0" autoLine="0" autoPict="0">
                <anchor moveWithCells="1">
                  <from>
                    <xdr:col>40</xdr:col>
                    <xdr:colOff>0</xdr:colOff>
                    <xdr:row>0</xdr:row>
                    <xdr:rowOff>45720</xdr:rowOff>
                  </from>
                  <to>
                    <xdr:col>46</xdr:col>
                    <xdr:colOff>22860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11C76470-1314-4CB7-820A-6DB8988BFDA6}">
          <x14:formula1>
            <xm:f>TABULAÇÕES!$B$2:$B$5</xm:f>
          </x14:formula1>
          <xm:sqref>N25:AE26</xm:sqref>
        </x14:dataValidation>
        <x14:dataValidation type="list" allowBlank="1" showInputMessage="1" showErrorMessage="1" xr:uid="{3F2B969C-C84E-4CC9-AD25-FA9AC7E351EA}">
          <x14:formula1>
            <xm:f>TABULAÇÕES!$H$2:$H$8</xm:f>
          </x14:formula1>
          <xm:sqref>N29:AE30</xm:sqref>
        </x14:dataValidation>
        <x14:dataValidation type="list" allowBlank="1" showInputMessage="1" showErrorMessage="1" xr:uid="{E66D9B4F-4E99-45D1-BA58-1F52E3D24EF7}">
          <x14:formula1>
            <xm:f>TABULAÇÕES!$N$2:$N$6</xm:f>
          </x14:formula1>
          <xm:sqref>K18:X20</xm:sqref>
        </x14:dataValidation>
        <x14:dataValidation type="list" allowBlank="1" showInputMessage="1" showErrorMessage="1" xr:uid="{378FFC24-2E8D-40A5-BE88-FB9DD7F163F1}">
          <x14:formula1>
            <xm:f>TABULAÇÕES!$L$2:$L$5</xm:f>
          </x14:formula1>
          <xm:sqref>O12:AE13</xm:sqref>
        </x14:dataValidation>
        <x14:dataValidation type="list" allowBlank="1" showInputMessage="1" showErrorMessage="1" xr:uid="{6762CA73-82E9-41B9-B290-7D71909C144D}">
          <x14:formula1>
            <xm:f>TABULAÇÕES!$J$2:$J$5</xm:f>
          </x14:formula1>
          <xm:sqref>AN25:BA26</xm:sqref>
        </x14:dataValidation>
        <x14:dataValidation type="list" allowBlank="1" showInputMessage="1" showErrorMessage="1" xr:uid="{80CBC213-4F1C-4644-B1D4-1C1A40EF2757}">
          <x14:formula1>
            <xm:f>#REF!</xm:f>
          </x14:formula1>
          <xm:sqref>H7:K9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C25D0-E9AD-42A8-BAF6-2D4C7039F51E}">
  <sheetPr codeName="Planilha6"/>
  <dimension ref="A1:AD4"/>
  <sheetViews>
    <sheetView showGridLines="0" zoomScale="85" zoomScaleNormal="85" workbookViewId="0">
      <pane xSplit="5" ySplit="3" topLeftCell="F4" activePane="bottomRight" state="frozen"/>
      <selection pane="topRight"/>
      <selection pane="bottomLeft"/>
      <selection pane="bottomRight" activeCell="A4" sqref="A4:XFD1048576"/>
    </sheetView>
  </sheetViews>
  <sheetFormatPr defaultColWidth="11.54296875" defaultRowHeight="15" x14ac:dyDescent="0.25"/>
  <cols>
    <col min="1" max="1" width="1.54296875" customWidth="1"/>
    <col min="2" max="2" width="16" style="21" customWidth="1"/>
    <col min="3" max="3" width="9.90625" style="21" customWidth="1"/>
    <col min="4" max="4" width="9.54296875" customWidth="1"/>
    <col min="5" max="5" width="7.90625" customWidth="1"/>
    <col min="6" max="6" width="12.453125" customWidth="1"/>
    <col min="7" max="7" width="30.36328125" customWidth="1"/>
    <col min="8" max="8" width="14.1796875" customWidth="1"/>
    <col min="10" max="10" width="17" customWidth="1"/>
    <col min="13" max="13" width="19.81640625" customWidth="1"/>
    <col min="14" max="14" width="14.81640625" customWidth="1"/>
    <col min="15" max="15" width="18.54296875" customWidth="1"/>
    <col min="16" max="16" width="16.36328125" customWidth="1"/>
    <col min="17" max="17" width="21.90625" customWidth="1"/>
    <col min="18" max="18" width="18.08984375" customWidth="1"/>
    <col min="19" max="19" width="23.36328125" customWidth="1"/>
    <col min="20" max="20" width="23.1796875" customWidth="1"/>
    <col min="22" max="22" width="22.6328125" customWidth="1"/>
    <col min="23" max="23" width="19.1796875" customWidth="1"/>
    <col min="27" max="27" width="15.453125" style="32" bestFit="1" customWidth="1"/>
    <col min="28" max="28" width="19.54296875" style="32" customWidth="1"/>
    <col min="29" max="29" width="20" bestFit="1" customWidth="1"/>
    <col min="30" max="30" width="17.1796875" customWidth="1"/>
    <col min="31" max="31" width="14.81640625" customWidth="1"/>
    <col min="32" max="32" width="11.54296875" customWidth="1"/>
  </cols>
  <sheetData>
    <row r="1" spans="1:30" ht="37.200000000000003" customHeight="1" x14ac:dyDescent="0.3">
      <c r="B1" s="28" t="s">
        <v>85</v>
      </c>
      <c r="C1" s="28"/>
    </row>
    <row r="2" spans="1:30" ht="7.95" customHeight="1" x14ac:dyDescent="0.3">
      <c r="B2" s="28"/>
      <c r="C2" s="28"/>
    </row>
    <row r="3" spans="1:30" ht="39.6" customHeight="1" x14ac:dyDescent="0.25">
      <c r="A3" s="13"/>
      <c r="B3" s="29" t="s">
        <v>39</v>
      </c>
      <c r="C3" s="29" t="s">
        <v>40</v>
      </c>
      <c r="D3" s="15" t="s">
        <v>28</v>
      </c>
      <c r="E3" s="15" t="s">
        <v>30</v>
      </c>
      <c r="F3" s="15" t="s">
        <v>31</v>
      </c>
      <c r="G3" s="15" t="s">
        <v>32</v>
      </c>
      <c r="H3" s="15" t="s">
        <v>41</v>
      </c>
      <c r="I3" s="15" t="s">
        <v>33</v>
      </c>
      <c r="J3" s="15" t="s">
        <v>42</v>
      </c>
      <c r="K3" s="15" t="s">
        <v>34</v>
      </c>
      <c r="L3" s="15" t="s">
        <v>35</v>
      </c>
      <c r="M3" s="15" t="s">
        <v>43</v>
      </c>
      <c r="N3" s="15" t="s">
        <v>44</v>
      </c>
      <c r="O3" s="15" t="s">
        <v>45</v>
      </c>
      <c r="P3" s="15" t="s">
        <v>36</v>
      </c>
      <c r="Q3" s="15" t="s">
        <v>46</v>
      </c>
      <c r="R3" s="15" t="s">
        <v>29</v>
      </c>
      <c r="S3" s="15" t="s">
        <v>47</v>
      </c>
      <c r="T3" s="15" t="s">
        <v>48</v>
      </c>
      <c r="U3" s="15" t="s">
        <v>49</v>
      </c>
      <c r="V3" s="15" t="s">
        <v>50</v>
      </c>
      <c r="W3" s="15" t="s">
        <v>51</v>
      </c>
      <c r="X3" s="16" t="s">
        <v>52</v>
      </c>
      <c r="Y3" s="15" t="s">
        <v>53</v>
      </c>
      <c r="Z3" s="15" t="s">
        <v>56</v>
      </c>
      <c r="AA3" s="33" t="s">
        <v>57</v>
      </c>
      <c r="AB3" s="33" t="s">
        <v>58</v>
      </c>
      <c r="AC3" s="37" t="s">
        <v>54</v>
      </c>
      <c r="AD3" s="37" t="s">
        <v>55</v>
      </c>
    </row>
    <row r="4" spans="1:30" s="13" customFormat="1" ht="39.6" customHeight="1" x14ac:dyDescent="0.25">
      <c r="B4" s="22"/>
      <c r="C4" s="22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4"/>
      <c r="Z4" s="31"/>
      <c r="AA4" s="34"/>
      <c r="AB4" s="38"/>
      <c r="AC4" s="36"/>
      <c r="AD4" s="35"/>
    </row>
  </sheetData>
  <sheetProtection selectLockedCells="1" selectUnlockedCells="1"/>
  <phoneticPr fontId="15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4C77D-EC7A-48DA-8AC1-0F4FB548B698}">
  <sheetPr codeName="Planilha3"/>
  <dimension ref="B1:AE4"/>
  <sheetViews>
    <sheetView showGridLines="0" zoomScale="70" zoomScaleNormal="70" workbookViewId="0">
      <selection activeCell="B16" sqref="B16"/>
    </sheetView>
  </sheetViews>
  <sheetFormatPr defaultColWidth="11.54296875" defaultRowHeight="15" x14ac:dyDescent="0.25"/>
  <cols>
    <col min="1" max="1" width="1.54296875" customWidth="1"/>
    <col min="2" max="3" width="16.6328125" customWidth="1"/>
    <col min="6" max="6" width="12.453125" customWidth="1"/>
    <col min="7" max="8" width="14.1796875" customWidth="1"/>
    <col min="10" max="10" width="17" customWidth="1"/>
    <col min="13" max="13" width="19.81640625" customWidth="1"/>
    <col min="14" max="15" width="14.81640625" customWidth="1"/>
    <col min="16" max="16" width="18.54296875" customWidth="1"/>
    <col min="17" max="17" width="16.36328125" customWidth="1"/>
    <col min="18" max="18" width="21.90625" customWidth="1"/>
    <col min="19" max="19" width="18.08984375" customWidth="1"/>
    <col min="20" max="20" width="23.36328125" customWidth="1"/>
    <col min="21" max="21" width="23.1796875" customWidth="1"/>
    <col min="23" max="23" width="22.6328125" customWidth="1"/>
  </cols>
  <sheetData>
    <row r="1" spans="2:31" ht="37.200000000000003" customHeight="1" x14ac:dyDescent="0.3">
      <c r="B1" s="12" t="s">
        <v>87</v>
      </c>
      <c r="C1" s="12"/>
    </row>
    <row r="2" spans="2:31" ht="7.95" customHeight="1" x14ac:dyDescent="0.3">
      <c r="B2" s="12"/>
      <c r="C2" s="12"/>
    </row>
    <row r="3" spans="2:31" s="13" customFormat="1" ht="39.6" customHeight="1" x14ac:dyDescent="0.25">
      <c r="B3" s="14" t="s">
        <v>39</v>
      </c>
      <c r="C3" s="29" t="s">
        <v>40</v>
      </c>
      <c r="D3" s="15" t="s">
        <v>28</v>
      </c>
      <c r="E3" s="15" t="s">
        <v>30</v>
      </c>
      <c r="F3" s="15" t="s">
        <v>31</v>
      </c>
      <c r="G3" s="15" t="s">
        <v>32</v>
      </c>
      <c r="H3" s="15" t="s">
        <v>41</v>
      </c>
      <c r="I3" s="15" t="s">
        <v>33</v>
      </c>
      <c r="J3" s="15" t="s">
        <v>88</v>
      </c>
      <c r="K3" s="15" t="s">
        <v>34</v>
      </c>
      <c r="L3" s="15" t="s">
        <v>35</v>
      </c>
      <c r="M3" s="15" t="s">
        <v>43</v>
      </c>
      <c r="N3" s="15" t="s">
        <v>44</v>
      </c>
      <c r="O3" s="15" t="s">
        <v>45</v>
      </c>
      <c r="P3" s="15" t="s">
        <v>36</v>
      </c>
      <c r="Q3" s="15" t="s">
        <v>46</v>
      </c>
      <c r="R3" s="15" t="s">
        <v>29</v>
      </c>
      <c r="S3" s="15" t="s">
        <v>47</v>
      </c>
      <c r="T3" s="15" t="s">
        <v>48</v>
      </c>
      <c r="U3" s="15" t="s">
        <v>49</v>
      </c>
      <c r="V3" s="15" t="s">
        <v>50</v>
      </c>
      <c r="W3" s="15" t="s">
        <v>51</v>
      </c>
      <c r="X3" s="16" t="s">
        <v>52</v>
      </c>
      <c r="Y3" s="15" t="s">
        <v>53</v>
      </c>
      <c r="Z3" s="15" t="s">
        <v>56</v>
      </c>
      <c r="AA3" s="33" t="s">
        <v>57</v>
      </c>
      <c r="AB3" s="33" t="s">
        <v>58</v>
      </c>
      <c r="AC3" s="37" t="s">
        <v>54</v>
      </c>
      <c r="AD3" s="37" t="s">
        <v>55</v>
      </c>
      <c r="AE3" s="15" t="s">
        <v>89</v>
      </c>
    </row>
    <row r="4" spans="2:31" s="13" customFormat="1" ht="39.6" customHeight="1" x14ac:dyDescent="0.25">
      <c r="B4" s="17"/>
      <c r="C4" s="17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9"/>
      <c r="Y4" s="30"/>
      <c r="Z4" s="30"/>
      <c r="AA4" s="46"/>
      <c r="AB4" s="30"/>
      <c r="AC4" s="30"/>
      <c r="AD4" s="30"/>
      <c r="AE4" s="30"/>
    </row>
  </sheetData>
  <phoneticPr fontId="15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7A7473-EBB6-4771-B608-7C5C75D4F06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TABULAÇÕES</vt:lpstr>
      <vt:lpstr>FORMULÁRIO</vt:lpstr>
      <vt:lpstr>BASE ATENDIMENTO</vt:lpstr>
      <vt:lpstr>BASE RECEPTIVO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Adryan Souza dos Santos</dc:creator>
  <cp:keywords/>
  <dc:description/>
  <cp:lastModifiedBy>Adryan Souza dos Santos</cp:lastModifiedBy>
  <cp:revision/>
  <dcterms:created xsi:type="dcterms:W3CDTF">2024-12-17T12:40:56Z</dcterms:created>
  <dcterms:modified xsi:type="dcterms:W3CDTF">2025-02-26T17:08:34Z</dcterms:modified>
  <cp:category/>
  <cp:contentStatus/>
</cp:coreProperties>
</file>